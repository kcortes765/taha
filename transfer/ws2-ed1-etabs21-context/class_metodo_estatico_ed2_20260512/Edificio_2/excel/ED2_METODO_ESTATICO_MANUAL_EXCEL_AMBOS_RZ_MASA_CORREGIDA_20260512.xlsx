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e989419f148fd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00_LEEME" sheetId="1" ns1:id="R0e6b1f5ef9e84e82"/>
    <sheet name="01_Inputs" sheetId="2" ns1:id="R766f967552ea4970"/>
    <sheet name="02_Datos_ETABS" sheetId="3" ns1:id="R277fdc0e354548af"/>
    <sheet name="03_Coeficiente_C" sheetId="4" ns1:id="Re72e8c59d0ea4404"/>
    <sheet name="04_Distribución" sheetId="5" ns1:id="R8a890857564f41c8"/>
    <sheet name="05_Cargas_ETABS" sheetId="6" ns1:id="Rd0f0afcd6f7c42a2"/>
    <sheet name="06_Combos_Guía" sheetId="7" ns1:id="R6e9bcdf4725f4538"/>
    <sheet name="07_Validaciones" sheetId="8" ns1:id="R04f619820e984e79"/>
    <sheet name="08_Trazabilidad_Clase" sheetId="9" ns1:id="Rbe4bda801fb2447f"/>
    <sheet name="09_Gráficos" sheetId="10" ns1:id="R0b253d0c87c04564"/>
    <sheet name="10_Controles_ETABS" sheetId="11" ns1:id="Rade6fd7e71964d8e"/>
  </sheets>
  <calcPr calcMode="auto" fullCalcOnLoad="1" forceFullCalc="1"/>
</workbook>
</file>

<file path=xl/sharedStrings.xml><?xml version="1.0" encoding="utf-8"?>
<x:sst xmlns:x="http://schemas.openxmlformats.org/spreadsheetml/2006/main">
  <x:si>
    <x:t xml:space="preserve">Parámetro</x:t>
  </x:si>
  <x:si>
    <x:t xml:space="preserve">Valor</x:t>
  </x:si>
  <x:si>
    <x:t xml:space="preserve">Tipo</x:t>
  </x:si>
  <x:si>
    <x:t xml:space="preserve">Nota</x:t>
  </x:si>
  <x:si>
    <x:t xml:space="preserve">Ao/g zona 3</x:t>
  </x:si>
  <x:si>
    <x:t xml:space="preserve">Editable</x:t>
  </x:si>
  <x:si>
    <x:t xml:space="preserve">Clase + Tabla 7 NCh433: Antofagasta/Zona 3.</x:t>
  </x:si>
  <x:si>
    <x:t xml:space="preserve">S suelo C</x:t>
  </x:si>
  <x:si>
    <x:t xml:space="preserve">Tabla 8 NCh433: suelo C.</x:t>
  </x:si>
  <x:si>
    <x:t xml:space="preserve">I importancia</x:t>
  </x:si>
  <x:si>
    <x:t xml:space="preserve">Categoría II / no aglomeración: I = 1,0.</x:t>
  </x:si>
  <x:si>
    <x:t xml:space="preserve">R sistema marcos</x:t>
  </x:si>
  <x:si>
    <x:t xml:space="preserve">Marcos especiales de hormigón armado: R = 7.</x:t>
  </x:si>
  <x:si>
    <x:t xml:space="preserve">T' suelo [s]</x:t>
  </x:si>
  <x:si>
    <x:t xml:space="preserve">n suelo</x:t>
  </x:si>
  <x:si>
    <x:t xml:space="preserve">Tabla 8 NCh433: suelo C, n = 1,40.</x:t>
  </x:si>
  <x:si>
    <x:t xml:space="preserve">H total [m]</x:t>
  </x:si>
  <x:si>
    <x:t xml:space="preserve">Fijo</x:t>
  </x:si>
  <x:si>
    <x:t xml:space="preserve">3,5 + 4x3,0 = 15,5 m.</x:t>
  </x:si>
  <x:si>
    <x:t xml:space="preserve">b planta X [m]</x:t>
  </x:si>
  <x:si>
    <x:t xml:space="preserve">Planta 32,5 x 32,5 m.</x:t>
  </x:si>
  <x:si>
    <x:t xml:space="preserve">b planta Y [m]</x:t>
  </x:si>
  <x:si>
    <x:t xml:space="preserve">Área planta [m²]</x:t>
  </x:si>
  <x:si>
    <x:t xml:space="preserve">32,5 x 32,5.</x:t>
  </x:si>
  <x:si>
    <x:t xml:space="preserve">Tx* [s]</x:t>
  </x:si>
  <x:si>
    <x:t xml:space="preserve">Modo 2 con mayor UX = 0.867502.</x:t>
  </x:si>
  <x:si>
    <x:t xml:space="preserve">Ty* [s]</x:t>
  </x:si>
  <x:si>
    <x:t xml:space="preserve">Modo 1 con mayor UY = 0.867495.</x:t>
  </x:si>
  <x:si>
    <x:t xml:space="preserve">Pesos sísmicos por piso desde ETABS OUT</x:t>
  </x:si>
  <x:si>
    <x:t xml:space="preserve">Masas participantes modales desde ETABS API</x:t>
  </x:si>
  <x:si>
    <x:t xml:space="preserve">Piso</x:t>
  </x:si>
  <x:si>
    <x:t xml:space="preserve">Z [m]</x:t>
  </x:si>
  <x:si>
    <x:t xml:space="preserve">P_k [tonf]</x:t>
  </x:si>
  <x:si>
    <x:t xml:space="preserve">Modo</x:t>
  </x:si>
  <x:si>
    <x:t xml:space="preserve">T [s]</x:t>
  </x:si>
  <x:si>
    <x:t xml:space="preserve">UX</x:t>
  </x:si>
  <x:si>
    <x:t xml:space="preserve">UY</x:t>
  </x:si>
  <x:si>
    <x:t xml:space="preserve">RZ</x:t>
  </x:si>
  <x:si>
    <x:t xml:space="preserve">SumUX</x:t>
  </x:si>
  <x:si>
    <x:t xml:space="preserve">SumUY</x:t>
  </x:si>
  <x:si>
    <x:t xml:space="preserve">SumRZ</x:t>
  </x:si>
  <x:si>
    <x:t xml:space="preserve">Story1</x:t>
  </x:si>
  <x:si>
    <x:t xml:space="preserve">Story2</x:t>
  </x:si>
  <x:si>
    <x:t xml:space="preserve">Story3</x:t>
  </x:si>
  <x:si>
    <x:t xml:space="preserve">Story4</x:t>
  </x:si>
  <x:si>
    <x:t xml:space="preserve">Story5</x:t>
  </x:si>
</x:sst>
</file>

<file path=xl/styles.xml><?xml version="1.0" encoding="utf-8"?>
<x:styleSheet xmlns:x="http://schemas.openxmlformats.org/spreadsheetml/2006/main">
  <x:numFmts count="3">
    <x:numFmt numFmtId="164" formatCode="0.000000"/>
    <x:numFmt numFmtId="200" formatCode="0.000"/>
    <x:numFmt numFmtId="201" formatCode="0.0"/>
  </x:numFmts>
  <x:fonts count="6">
    <x:font>
      <x:sz val="11"/>
      <x:color theme="1"/>
      <x:name val="Calibri"/>
    </x:font>
    <x:font>
      <x:b/>
      <x:sz val="18"/>
      <x:color rgb="FFFFFF"/>
      <x:name val="Calibri"/>
    </x:font>
    <x:font>
      <x:b/>
      <x:sz val="11"/>
      <x:color rgb="FFFFFF"/>
      <x:name val="Calibri"/>
    </x:font>
    <x:font>
      <x:b/>
      <x:sz val="11"/>
      <x:color theme="1"/>
      <x:name val="Calibri"/>
    </x:font>
    <x:font>
      <x:b/>
      <x:sz val="14"/>
      <x:color rgb="FFFFFF"/>
      <x:name val="Calibri"/>
    </x:font>
    <x:font>
      <x:b/>
      <x:sz val="11"/>
      <x:color rgb="000000"/>
      <x:name val="Calibri"/>
    </x:font>
  </x:fonts>
  <x:fills count="20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202A33"/>
      </x:patternFill>
    </x:fill>
    <x:fill>
      <x:patternFill patternType="solid">
        <x:fgColor rgb="FFF2CC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  <x:fill>
      <x:patternFill patternType="solid">
        <x:fgColor rgb="E7E6E6"/>
      </x:patternFill>
    </x:fill>
    <x:fill>
      <x:patternFill patternType="solid">
        <x:fgColor rgb="EADCF8"/>
      </x:patternFill>
    </x:fill>
    <x:fill>
      <x:patternFill patternType="solid">
        <x:fgColor rgb="BDD7EE"/>
      </x:patternFill>
    </x:fill>
    <x:fill>
      <x:patternFill patternType="solid">
        <x:fgColor rgb="D9EAD3"/>
      </x:patternFill>
    </x:fill>
    <x:fill>
      <x:patternFill patternType="solid">
        <x:fgColor rgb="17365D"/>
      </x:patternFill>
    </x:fill>
    <x:fill>
      <x:patternFill patternType="solid">
        <x:fgColor rgb="1F4E78"/>
      </x:patternFill>
    </x:fill>
    <x:fill>
      <x:patternFill patternType="solid">
        <x:fgColor rgb="FFF2CC"/>
      </x:patternFill>
    </x:fill>
    <x:fill>
      <x:patternFill patternType="solid">
        <x:fgColor rgb="DDEBF7"/>
      </x:patternFill>
    </x:fill>
    <x:fill>
      <x:patternFill patternType="solid">
        <x:fgColor rgb="E2F0D9"/>
      </x:patternFill>
    </x:fill>
    <x:fill>
      <x:patternFill patternType="solid">
        <x:fgColor rgb="FCE4D6"/>
      </x:patternFill>
    </x:fill>
    <x:fill>
      <x:patternFill patternType="solid">
        <x:fgColor rgb="EADCF8"/>
      </x:patternFill>
    </x:fill>
    <x:fill>
      <x:patternFill patternType="solid">
        <x:fgColor rgb="1F4E78"/>
      </x:patternFill>
    </x:fill>
    <x:fill>
      <x:patternFill patternType="solid">
        <x:fgColor rgb="1F4E78"/>
      </x:patternFill>
    </x:fill>
  </x:fills>
  <x:borders count="3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>
        <x:color rgb="BFBFBF"/>
      </x:right>
      <x:bottom>
        <x:color rgb="BFBFBF"/>
      </x:bottom>
    </x:border>
    <x:border>
      <x:left>
        <x:color rgb="BFBFBF"/>
      </x:left>
      <x:right>
        <x:color rgb="BFBFBF"/>
      </x:right>
      <x:bottom>
        <x:color rgb="BFBFBF"/>
      </x:bottom>
    </x:border>
    <x:border>
      <x:left>
        <x:color rgb="BFBFBF"/>
      </x:left>
      <x:bottom>
        <x:color rgb="BFBFBF"/>
      </x:bottom>
    </x:border>
    <x:border>
      <x:right>
        <x:color rgb="BFBFBF"/>
      </x:right>
      <x:top>
        <x:color rgb="BFBFBF"/>
      </x:top>
      <x:bottom>
        <x:color rgb="BFBFBF"/>
      </x:bottom>
    </x:border>
    <x:border>
      <x:left>
        <x:color rgb="BFBFBF"/>
      </x:left>
      <x:right>
        <x:color rgb="BFBFBF"/>
      </x:right>
      <x:top>
        <x:color rgb="BFBFBF"/>
      </x:top>
      <x:bottom>
        <x:color rgb="BFBFBF"/>
      </x:bottom>
    </x:border>
    <x:border>
      <x:left>
        <x:color rgb="BFBFBF"/>
      </x:left>
      <x:top>
        <x:color rgb="BFBFBF"/>
      </x:top>
      <x:bottom>
        <x:color rgb="BFBFBF"/>
      </x:bottom>
    </x:border>
    <x:border>
      <x:right>
        <x:color rgb="BFBFBF"/>
      </x:right>
      <x:top>
        <x:color rgb="BFBFBF"/>
      </x:top>
    </x:border>
    <x:border>
      <x:left>
        <x:color rgb="BFBFBF"/>
      </x:left>
      <x:right>
        <x:color rgb="BFBFBF"/>
      </x:right>
      <x:top>
        <x:color rgb="BFBFBF"/>
      </x:top>
    </x:border>
    <x:border>
      <x:left>
        <x:color rgb="BFBFBF"/>
      </x:left>
      <x:top>
        <x:color rgb="BFBFBF"/>
      </x:top>
    </x:border>
    <x:border>
      <x:right>
        <x:color rgb="BFBFBF"/>
      </x:right>
      <x:bottom>
        <x:color rgb="BFBFBF"/>
      </x:bottom>
    </x:border>
    <x:border>
      <x:left>
        <x:color rgb="BFBFBF"/>
      </x:left>
      <x:right>
        <x:color rgb="BFBFBF"/>
      </x:right>
      <x:bottom>
        <x:color rgb="BFBFBF"/>
      </x:bottom>
    </x:border>
    <x:border>
      <x:left>
        <x:color rgb="BFBFBF"/>
      </x:left>
      <x:bottom>
        <x:color rgb="BFBFBF"/>
      </x:bottom>
    </x:border>
    <x:border>
      <x:right>
        <x:color rgb="BFBFBF"/>
      </x:right>
      <x:top>
        <x:color rgb="BFBFBF"/>
      </x:top>
      <x:bottom>
        <x:color rgb="BFBFBF"/>
      </x:bottom>
    </x:border>
    <x:border>
      <x:left>
        <x:color rgb="BFBFBF"/>
      </x:left>
      <x:right>
        <x:color rgb="BFBFBF"/>
      </x:right>
      <x:top>
        <x:color rgb="BFBFBF"/>
      </x:top>
      <x:bottom>
        <x:color rgb="BFBFBF"/>
      </x:bottom>
    </x:border>
    <x:border>
      <x:left>
        <x:color rgb="BFBFBF"/>
      </x:left>
      <x:top>
        <x:color rgb="BFBFBF"/>
      </x:top>
      <x:bottom>
        <x:color rgb="BFBFBF"/>
      </x:bottom>
    </x:border>
    <x:border>
      <x:right>
        <x:color rgb="BFBFBF"/>
      </x:right>
      <x:top>
        <x:color rgb="BFBFBF"/>
      </x:top>
    </x:border>
    <x:border>
      <x:left>
        <x:color rgb="BFBFBF"/>
      </x:left>
      <x:right>
        <x:color rgb="BFBFBF"/>
      </x:right>
      <x:top>
        <x:color rgb="BFBFBF"/>
      </x:top>
    </x:border>
    <x:border>
      <x:left>
        <x:color rgb="BFBFBF"/>
      </x:left>
      <x:top>
        <x:color rgb="BFBFBF"/>
      </x:top>
    </x:border>
    <x:border>
      <x:left style="thin">
        <x:color auto="1"/>
      </x:left>
      <x:right>
        <x:color rgb="BFBFBF"/>
      </x:right>
      <x:top style="thin">
        <x:color auto="1"/>
      </x:top>
      <x:bottom>
        <x:color rgb="BFBFBF"/>
      </x:bottom>
    </x:border>
    <x:border>
      <x:left>
        <x:color rgb="BFBFBF"/>
      </x:left>
      <x:right>
        <x:color rgb="BFBFBF"/>
      </x:right>
      <x:top style="thin">
        <x:color auto="1"/>
      </x:top>
      <x:bottom>
        <x:color rgb="BFBFBF"/>
      </x:bottom>
    </x:border>
    <x:border>
      <x:left>
        <x:color rgb="BFBFBF"/>
      </x:left>
      <x:right style="thin">
        <x:color auto="1"/>
      </x:right>
      <x:top style="thin">
        <x:color auto="1"/>
      </x:top>
      <x:bottom>
        <x:color rgb="BFBFBF"/>
      </x:bottom>
    </x:border>
    <x:border>
      <x:left style="thin">
        <x:color auto="1"/>
      </x:left>
      <x:right>
        <x:color rgb="BFBFBF"/>
      </x:right>
      <x:top>
        <x:color rgb="BFBFBF"/>
      </x:top>
      <x:bottom>
        <x:color rgb="BFBFBF"/>
      </x:bottom>
    </x:border>
    <x:border>
      <x:left>
        <x:color rgb="BFBFBF"/>
      </x:left>
      <x:right style="thin">
        <x:color auto="1"/>
      </x:right>
      <x:top>
        <x:color rgb="BFBFBF"/>
      </x:top>
      <x:bottom>
        <x:color rgb="BFBFBF"/>
      </x:bottom>
    </x:border>
    <x:border>
      <x:left style="thin">
        <x:color auto="1"/>
      </x:left>
      <x:right>
        <x:color rgb="BFBFBF"/>
      </x:right>
      <x:top>
        <x:color rgb="BFBFBF"/>
      </x:top>
      <x:bottom style="thin">
        <x:color auto="1"/>
      </x:bottom>
    </x:border>
    <x:border>
      <x:left>
        <x:color rgb="BFBFBF"/>
      </x:left>
      <x:right>
        <x:color rgb="BFBFBF"/>
      </x:right>
      <x:top>
        <x:color rgb="BFBFBF"/>
      </x:top>
      <x:bottom style="thin">
        <x:color auto="1"/>
      </x:bottom>
    </x:border>
    <x:border>
      <x:left>
        <x:color rgb="BFBFBF"/>
      </x:left>
      <x:right style="thin">
        <x:color auto="1"/>
      </x:right>
      <x:top>
        <x:color rgb="BFBFBF"/>
      </x:top>
      <x:bottom style="thin">
        <x:color auto="1"/>
      </x:bottom>
    </x:border>
    <x:border>
      <x:left style="thin">
        <x:color auto="1"/>
      </x:left>
      <x:right>
        <x:color rgb="BFBFBF"/>
      </x:right>
      <x:top style="thin">
        <x:color auto="1"/>
      </x:top>
      <x:bottom>
        <x:color rgb="BFBFBF"/>
      </x:bottom>
    </x:border>
    <x:border>
      <x:left>
        <x:color rgb="BFBFBF"/>
      </x:left>
      <x:right>
        <x:color rgb="BFBFBF"/>
      </x:right>
      <x:top style="thin">
        <x:color auto="1"/>
      </x:top>
      <x:bottom>
        <x:color rgb="BFBFBF"/>
      </x:bottom>
    </x:border>
    <x:border>
      <x:left>
        <x:color rgb="BFBFBF"/>
      </x:left>
      <x:right style="thin">
        <x:color auto="1"/>
      </x:right>
      <x:top style="thin">
        <x:color auto="1"/>
      </x:top>
      <x:bottom>
        <x:color rgb="BFBFBF"/>
      </x:bottom>
    </x:border>
    <x:border>
      <x:left style="thin">
        <x:color auto="1"/>
      </x:left>
      <x:right>
        <x:color rgb="BFBFBF"/>
      </x:right>
      <x:top>
        <x:color rgb="BFBFBF"/>
      </x:top>
      <x:bottom>
        <x:color rgb="BFBFBF"/>
      </x:bottom>
    </x:border>
    <x:border>
      <x:left>
        <x:color rgb="BFBFBF"/>
      </x:left>
      <x:right style="thin">
        <x:color auto="1"/>
      </x:right>
      <x:top>
        <x:color rgb="BFBFBF"/>
      </x:top>
      <x:bottom>
        <x:color rgb="BFBFBF"/>
      </x:bottom>
    </x:border>
    <x:border>
      <x:left style="thin">
        <x:color auto="1"/>
      </x:left>
      <x:right>
        <x:color rgb="BFBFBF"/>
      </x:right>
      <x:top>
        <x:color rgb="BFBFBF"/>
      </x:top>
      <x:bottom style="thin">
        <x:color auto="1"/>
      </x:bottom>
    </x:border>
    <x:border>
      <x:left>
        <x:color rgb="BFBFBF"/>
      </x:left>
      <x:right>
        <x:color rgb="BFBFBF"/>
      </x:right>
      <x:top>
        <x:color rgb="BFBFBF"/>
      </x:top>
      <x:bottom style="thin">
        <x:color auto="1"/>
      </x:bottom>
    </x:border>
    <x:border>
      <x:left>
        <x:color rgb="BFBFBF"/>
      </x:left>
      <x:right style="thin">
        <x:color auto="1"/>
      </x:right>
      <x:top>
        <x:color rgb="BFBFBF"/>
      </x:top>
      <x:bottom style="thin">
        <x:color auto="1"/>
      </x:bottom>
    </x:border>
  </x:borders>
  <x:cellStyleXfs count="1">
    <x:xf numFmtId="0" fontId="0" fillId="0" borderId="0"/>
  </x:cellStyleXfs>
  <x:cellXfs count="327">
    <x:xf numFmtId="0" fontId="0" fillId="0" borderId="0" xfId="0"/>
    <x:xf numFmtId="0" fontId="2" fillId="3" borderId="0" xfId="0" applyFont="1" applyFill="1" applyAlignment="1">
      <x:alignment horizontal="left"/>
    </x:xf>
    <x:xf numFmtId="0" fontId="0" fillId="4" borderId="1" xfId="0" applyFill="1" applyBorder="1"/>
    <x:xf numFmtId="0" fontId="0" fillId="0" borderId="1" xfId="0" applyBorder="1" applyAlignment="1">
      <x:alignment vertical="top" wrapText="1"/>
    </x:xf>
    <x:xf numFmtId="164" fontId="0" fillId="5" borderId="1" xfId="0" applyNumberFormat="1" applyFill="1" applyBorder="1"/>
    <x:xf numFmtId="164" fontId="0" fillId="6" borderId="1" xfId="0" applyNumberFormat="1" applyFill="1" applyBorder="1"/>
    <x:xf numFmtId="164" fontId="0" fillId="7" borderId="1" xfId="0" applyNumberFormat="1" applyFill="1" applyBorder="1"/>
    <x:xf numFmtId="0" fontId="0" fillId="8" borderId="1" xfId="0" applyFill="1" applyBorder="1" applyAlignment="1">
      <x:alignment vertical="top" wrapText="1"/>
    </x:xf>
    <x:xf numFmtId="0" fontId="3" fillId="9" borderId="1" xfId="0" applyFont="1" applyFill="1" applyBorder="1" applyAlignment="1">
      <x:alignment horizontal="center" vertical="center" wrapText="1"/>
    </x:xf>
    <x:xf numFmtId="164" fontId="0" fillId="4" borderId="1" xfId="0" applyNumberFormat="1" applyFill="1" applyBorder="1"/>
    <x:xf numFmtId="0" fontId="3" fillId="10" borderId="1" xfId="0" applyFont="1" applyFill="1" applyBorder="1"/>
    <x:xf numFmtId="0" fontId="1" fillId="2" borderId="0" xfId="0" applyFont="1" applyFill="1" applyAlignment="1">
      <x:alignment horizontal="center" vertical="center"/>
    </x:xf>
    <x:xf numFmtId="0" fontId="0" fillId="0" borderId="2" xfId="0" applyNumberFormat="1" applyFont="1" applyFill="1" applyBorder="1"/>
    <x:xf numFmtId="0" fontId="2" fillId="3" borderId="2" xfId="0" applyNumberFormat="1" applyFont="1" applyFill="1" applyBorder="1" applyAlignment="1">
      <x:alignment horizontal="left"/>
    </x:xf>
    <x:xf numFmtId="0" fontId="0" fillId="4" borderId="3" xfId="0" applyNumberFormat="1" applyFont="1" applyFill="1" applyBorder="1"/>
    <x:xf numFmtId="0" fontId="0" fillId="0" borderId="3" xfId="0" applyNumberFormat="1" applyFont="1" applyFill="1" applyBorder="1" applyAlignment="1">
      <x:alignment vertical="top" wrapText="1"/>
    </x:xf>
    <x:xf numFmtId="164" fontId="0" fillId="5" borderId="3" xfId="0" applyNumberFormat="1" applyFont="1" applyFill="1" applyBorder="1"/>
    <x:xf numFmtId="164" fontId="0" fillId="6" borderId="3" xfId="0" applyNumberFormat="1" applyFont="1" applyFill="1" applyBorder="1"/>
    <x:xf numFmtId="164" fontId="0" fillId="7" borderId="3" xfId="0" applyNumberFormat="1" applyFont="1" applyFill="1" applyBorder="1"/>
    <x:xf numFmtId="0" fontId="0" fillId="8" borderId="3" xfId="0" applyNumberFormat="1" applyFont="1" applyFill="1" applyBorder="1" applyAlignment="1">
      <x:alignment vertical="top" wrapText="1"/>
    </x:xf>
    <x:xf numFmtId="0" fontId="3" fillId="9" borderId="3" xfId="0" applyNumberFormat="1" applyFont="1" applyFill="1" applyBorder="1" applyAlignment="1">
      <x:alignment horizontal="center" vertical="center" wrapText="1"/>
    </x:xf>
    <x:xf numFmtId="164" fontId="0" fillId="4" borderId="3" xfId="0" applyNumberFormat="1" applyFont="1" applyFill="1" applyBorder="1"/>
    <x:xf numFmtId="0" fontId="3" fillId="10" borderId="3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0" fillId="11" borderId="2" xfId="0" applyNumberFormat="1" applyFont="1" applyFill="1" applyBorder="1"/>
    <x:xf numFmtId="0" fontId="4" fillId="11" borderId="2" xfId="0" applyNumberFormat="1" applyFont="1" applyFill="1" applyBorder="1"/>
    <x:xf numFmtId="0" fontId="4" fillId="11" borderId="2" xfId="0" applyNumberFormat="1" applyFont="1" applyFill="1" applyBorder="1" applyAlignment="1">
      <x:alignment wrapText="1"/>
    </x:xf>
    <x:xf numFmtId="0" fontId="4" fillId="11" borderId="2" xfId="0" applyNumberFormat="1" applyFont="1" applyFill="1" applyBorder="1" applyAlignment="1">
      <x:alignment horizontal="center" wrapText="1"/>
    </x:xf>
    <x:xf numFmtId="0" fontId="4" fillId="11" borderId="2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0" fillId="12" borderId="2" xfId="0" applyNumberFormat="1" applyFont="1" applyFill="1" applyBorder="1"/>
    <x:xf numFmtId="0" fontId="2" fillId="12" borderId="2" xfId="0" applyNumberFormat="1" applyFont="1" applyFill="1" applyBorder="1"/>
    <x:xf numFmtId="0" fontId="2" fillId="12" borderId="2" xfId="0" applyNumberFormat="1" applyFont="1" applyFill="1" applyBorder="1" applyAlignment="1">
      <x:alignment wrapText="1"/>
    </x:xf>
    <x:xf numFmtId="0" fontId="2" fillId="12" borderId="2" xfId="0" applyNumberFormat="1" applyFont="1" applyFill="1" applyBorder="1" applyAlignment="1">
      <x:alignment horizontal="center" wrapText="1"/>
    </x:xf>
    <x:xf numFmtId="0" fontId="2" fillId="12" borderId="2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3" borderId="2" xfId="0" applyNumberFormat="1" applyFont="1" applyFill="1" applyBorder="1"/>
    <x:xf numFmtId="0" fontId="3" fillId="13" borderId="2" xfId="0" applyNumberFormat="1" applyFont="1" applyFill="1" applyBorder="1"/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0" fillId="14" borderId="2" xfId="0" applyNumberFormat="1" applyFont="1" applyFill="1" applyBorder="1"/>
    <x:xf numFmtId="0" fontId="3" fillId="14" borderId="2" xfId="0" applyNumberFormat="1" applyFont="1" applyFill="1" applyBorder="1"/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0" fillId="15" borderId="2" xfId="0" applyNumberFormat="1" applyFont="1" applyFill="1" applyBorder="1"/>
    <x:xf numFmtId="0" fontId="3" fillId="15" borderId="2" xfId="0" applyNumberFormat="1" applyFont="1" applyFill="1" applyBorder="1"/>
    <x:xf numFmtId="0" fontId="3" fillId="12" borderId="1" xfId="0" applyNumberFormat="1" applyFont="1" applyFill="1" applyBorder="1" applyAlignment="1">
      <x:alignment horizontal="center" vertical="center" wrapText="1"/>
    </x:xf>
    <x:xf numFmtId="0" fontId="2" fillId="12" borderId="1" xfId="0" applyNumberFormat="1" applyFont="1" applyFill="1" applyBorder="1" applyAlignment="1">
      <x:alignment horizontal="center" vertical="center" wrapText="1"/>
    </x:xf>
    <x:xf numFmtId="0" fontId="3" fillId="12" borderId="3" xfId="0" applyNumberFormat="1" applyFont="1" applyFill="1" applyBorder="1" applyAlignment="1">
      <x:alignment horizontal="center" vertical="center" wrapText="1"/>
    </x:xf>
    <x:xf numFmtId="0" fontId="2" fillId="12" borderId="3" xfId="0" applyNumberFormat="1" applyFont="1" applyFill="1" applyBorder="1" applyAlignment="1">
      <x:alignment horizontal="center" vertical="center" wrapText="1"/>
    </x:xf>
    <x:xf numFmtId="164" fontId="0" fillId="13" borderId="1" xfId="0" applyNumberFormat="1" applyFont="1" applyFill="1" applyBorder="1"/>
    <x:xf numFmtId="164" fontId="0" fillId="13" borderId="3" xfId="0" applyNumberFormat="1" applyFont="1" applyFill="1" applyBorder="1"/>
    <x:xf numFmtId="0" fontId="0" fillId="0" borderId="22" xfId="0" applyNumberFormat="1" applyFont="1" applyFill="1" applyBorder="1" applyAlignment="1">
      <x:alignment vertical="top" wrapText="1"/>
    </x:xf>
    <x:xf numFmtId="164" fontId="0" fillId="13" borderId="23" xfId="0" applyNumberFormat="1" applyFont="1" applyFill="1" applyBorder="1"/>
    <x:xf numFmtId="0" fontId="0" fillId="4" borderId="23" xfId="0" applyNumberFormat="1" applyFont="1" applyFill="1" applyBorder="1"/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164" fontId="0" fillId="13" borderId="8" xfId="0" applyNumberFormat="1" applyFont="1" applyFill="1" applyBorder="1"/>
    <x:xf numFmtId="0" fontId="0" fillId="4" borderId="8" xfId="0" applyNumberFormat="1" applyFont="1" applyFill="1" applyBorder="1"/>
    <x:xf numFmtId="0" fontId="0" fillId="0" borderId="26" xfId="0" applyNumberFormat="1" applyFont="1" applyFill="1" applyBorder="1" applyAlignment="1">
      <x:alignment vertical="top" wrapText="1"/>
    </x:xf>
    <x:xf numFmtId="164" fontId="0" fillId="7" borderId="8" xfId="0" applyNumberFormat="1" applyFont="1" applyFill="1" applyBorder="1"/>
    <x:xf numFmtId="0" fontId="0" fillId="0" borderId="25" xfId="0" applyNumberFormat="1" applyFont="1" applyFill="1" applyBorder="1"/>
    <x:xf numFmtId="0" fontId="0" fillId="13" borderId="8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13" borderId="28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164" fontId="0" fillId="13" borderId="23" xfId="0" applyNumberFormat="1" applyFont="1" applyFill="1" applyBorder="1" applyAlignment="1">
      <x:alignment wrapText="1"/>
    </x:xf>
    <x:xf numFmtId="0" fontId="0" fillId="4" borderId="23" xfId="0" applyNumberFormat="1" applyFont="1" applyFill="1" applyBorder="1" applyAlignment="1">
      <x:alignment wrapText="1"/>
    </x:xf>
    <x:xf numFmtId="164" fontId="0" fillId="13" borderId="8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164" fontId="0" fillId="7" borderId="8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13" borderId="8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13" borderId="28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vertical="top" wrapText="1"/>
    </x:xf>
    <x:xf numFmtId="164" fontId="0" fillId="13" borderId="31" xfId="0" applyNumberFormat="1" applyFont="1" applyFill="1" applyBorder="1"/>
    <x:xf numFmtId="0" fontId="0" fillId="4" borderId="31" xfId="0" applyNumberFormat="1" applyFont="1" applyFill="1" applyBorder="1"/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164" fontId="0" fillId="13" borderId="17" xfId="0" applyNumberFormat="1" applyFont="1" applyFill="1" applyBorder="1"/>
    <x:xf numFmtId="0" fontId="0" fillId="4" borderId="17" xfId="0" applyNumberFormat="1" applyFont="1" applyFill="1" applyBorder="1"/>
    <x:xf numFmtId="0" fontId="0" fillId="0" borderId="34" xfId="0" applyNumberFormat="1" applyFont="1" applyFill="1" applyBorder="1" applyAlignment="1">
      <x:alignment vertical="top" wrapText="1"/>
    </x:xf>
    <x:xf numFmtId="164" fontId="0" fillId="7" borderId="17" xfId="0" applyNumberFormat="1" applyFont="1" applyFill="1" applyBorder="1"/>
    <x:xf numFmtId="0" fontId="0" fillId="0" borderId="33" xfId="0" applyNumberFormat="1" applyFont="1" applyFill="1" applyBorder="1"/>
    <x:xf numFmtId="0" fontId="0" fillId="13" borderId="17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13" borderId="36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164" fontId="0" fillId="13" borderId="31" xfId="0" applyNumberFormat="1" applyFont="1" applyFill="1" applyBorder="1" applyAlignment="1">
      <x:alignment wrapText="1"/>
    </x:xf>
    <x:xf numFmtId="0" fontId="0" fillId="4" borderId="31" xfId="0" applyNumberFormat="1" applyFont="1" applyFill="1" applyBorder="1" applyAlignment="1">
      <x:alignment wrapText="1"/>
    </x:xf>
    <x:xf numFmtId="164" fontId="0" fillId="13" borderId="17" xfId="0" applyNumberFormat="1" applyFont="1" applyFill="1" applyBorder="1" applyAlignment="1">
      <x:alignment wrapText="1"/>
    </x:xf>
    <x:xf numFmtId="0" fontId="0" fillId="4" borderId="17" xfId="0" applyNumberFormat="1" applyFont="1" applyFill="1" applyBorder="1" applyAlignment="1">
      <x:alignment wrapText="1"/>
    </x:xf>
    <x:xf numFmtId="164" fontId="0" fillId="7" borderId="17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13" borderId="17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13" borderId="36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164" fontId="0" fillId="13" borderId="28" xfId="0" applyNumberFormat="1" applyFont="1" applyFill="1" applyBorder="1" applyAlignment="1">
      <x:alignment wrapText="1"/>
    </x:xf>
    <x:xf numFmtId="164" fontId="0" fillId="13" borderId="36" xfId="0" applyNumberFormat="1" applyFont="1" applyFill="1" applyBorder="1" applyAlignment="1">
      <x:alignment wrapText="1"/>
    </x:xf>
    <x:xf numFmtId="0" fontId="0" fillId="15" borderId="5" xfId="0" applyNumberFormat="1" applyFont="1" applyFill="1" applyBorder="1" applyAlignment="1">
      <x:alignment wrapText="1"/>
    </x:xf>
    <x:xf numFmtId="0" fontId="0" fillId="15" borderId="8" xfId="0" applyNumberFormat="1" applyFont="1" applyFill="1" applyBorder="1" applyAlignment="1">
      <x:alignment wrapText="1"/>
    </x:xf>
    <x:xf numFmtId="0" fontId="0" fillId="15" borderId="11" xfId="0" applyNumberFormat="1" applyFont="1" applyFill="1" applyBorder="1" applyAlignment="1">
      <x:alignment wrapText="1"/>
    </x:xf>
    <x:xf numFmtId="0" fontId="0" fillId="15" borderId="14" xfId="0" applyNumberFormat="1" applyFont="1" applyFill="1" applyBorder="1" applyAlignment="1">
      <x:alignment wrapText="1"/>
    </x:xf>
    <x:xf numFmtId="0" fontId="0" fillId="15" borderId="17" xfId="0" applyNumberFormat="1" applyFont="1" applyFill="1" applyBorder="1" applyAlignment="1">
      <x:alignment wrapText="1"/>
    </x:xf>
    <x:xf numFmtId="0" fontId="0" fillId="15" borderId="20" xfId="0" applyNumberFormat="1" applyFont="1" applyFill="1" applyBorder="1" applyAlignment="1">
      <x:alignment wrapText="1"/>
    </x:xf>
    <x:xf numFmtId="164" fontId="0" fillId="15" borderId="5" xfId="0" applyNumberFormat="1" applyFont="1" applyFill="1" applyBorder="1" applyAlignment="1">
      <x:alignment wrapText="1"/>
    </x:xf>
    <x:xf numFmtId="164" fontId="0" fillId="15" borderId="8" xfId="0" applyNumberFormat="1" applyFont="1" applyFill="1" applyBorder="1" applyAlignment="1">
      <x:alignment wrapText="1"/>
    </x:xf>
    <x:xf numFmtId="164" fontId="0" fillId="15" borderId="11" xfId="0" applyNumberFormat="1" applyFont="1" applyFill="1" applyBorder="1" applyAlignment="1">
      <x:alignment wrapText="1"/>
    </x:xf>
    <x:xf numFmtId="164" fontId="0" fillId="15" borderId="14" xfId="0" applyNumberFormat="1" applyFont="1" applyFill="1" applyBorder="1" applyAlignment="1">
      <x:alignment wrapText="1"/>
    </x:xf>
    <x:xf numFmtId="164" fontId="0" fillId="15" borderId="17" xfId="0" applyNumberFormat="1" applyFont="1" applyFill="1" applyBorder="1" applyAlignment="1">
      <x:alignment wrapText="1"/>
    </x:xf>
    <x:xf numFmtId="164" fontId="0" fillId="15" borderId="2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5" fillId="16" borderId="0" xfId="0" applyNumberFormat="1" applyFont="1" applyFill="1" applyBorder="1"/>
    <x:xf numFmtId="0" fontId="5" fillId="16" borderId="0" xfId="0" applyNumberFormat="1" applyFont="1" applyFill="1" applyBorder="1" applyAlignment="1">
      <x:alignment wrapText="1"/>
    </x:xf>
    <x:xf numFmtId="0" fontId="5" fillId="16" borderId="0" xfId="0" applyNumberFormat="1" applyFont="1" applyFill="1" applyBorder="1" applyAlignment="1">
      <x:alignment horizontal="left" wrapText="1"/>
    </x:xf>
    <x:xf numFmtId="0" fontId="5" fillId="16" borderId="0" xfId="0" applyNumberFormat="1" applyFont="1" applyFill="1" applyBorder="1" applyAlignment="1">
      <x:alignment horizontal="left" vertical="center" wrapText="1"/>
    </x:xf>
    <x:xf numFmtId="0" fontId="0" fillId="16" borderId="2" xfId="0" applyNumberFormat="1" applyFont="1" applyFill="1" applyBorder="1"/>
    <x:xf numFmtId="0" fontId="5" fillId="16" borderId="2" xfId="0" applyNumberFormat="1" applyFont="1" applyFill="1" applyBorder="1"/>
    <x:xf numFmtId="0" fontId="5" fillId="16" borderId="2" xfId="0" applyNumberFormat="1" applyFont="1" applyFill="1" applyBorder="1" applyAlignment="1">
      <x:alignment wrapText="1"/>
    </x:xf>
    <x:xf numFmtId="0" fontId="5" fillId="16" borderId="2" xfId="0" applyNumberFormat="1" applyFont="1" applyFill="1" applyBorder="1" applyAlignment="1">
      <x:alignment horizontal="left" wrapText="1"/>
    </x:xf>
    <x:xf numFmtId="0" fontId="5" fillId="16" borderId="2" xfId="0" applyNumberFormat="1" applyFont="1" applyFill="1" applyBorder="1" applyAlignment="1">
      <x:alignment horizontal="left" vertical="center" wrapText="1"/>
    </x:xf>
    <x:xf numFmtId="0" fontId="2" fillId="12" borderId="4" xfId="0" applyNumberFormat="1" applyFont="1" applyFill="1" applyBorder="1" applyAlignment="1">
      <x:alignment horizontal="center" vertical="center" wrapText="1"/>
    </x:xf>
    <x:xf numFmtId="0" fontId="2" fillId="12" borderId="5" xfId="0" applyNumberFormat="1" applyFont="1" applyFill="1" applyBorder="1" applyAlignment="1">
      <x:alignment horizontal="center" vertical="center" wrapText="1"/>
    </x:xf>
    <x:xf numFmtId="0" fontId="2" fillId="12" borderId="6" xfId="0" applyNumberFormat="1" applyFont="1" applyFill="1" applyBorder="1" applyAlignment="1">
      <x:alignment horizontal="center" vertical="center" wrapText="1"/>
    </x:xf>
    <x:xf numFmtId="0" fontId="5" fillId="16" borderId="7" xfId="0" applyNumberFormat="1" applyFont="1" applyFill="1" applyBorder="1" applyAlignment="1">
      <x:alignment horizontal="left" vertical="center" wrapText="1"/>
    </x:xf>
    <x:xf numFmtId="0" fontId="5" fillId="16" borderId="8" xfId="0" applyNumberFormat="1" applyFont="1" applyFill="1" applyBorder="1" applyAlignment="1">
      <x:alignment horizontal="left" vertical="center" wrapText="1"/>
    </x:xf>
    <x:xf numFmtId="0" fontId="5" fillId="16" borderId="9" xfId="0" applyNumberFormat="1" applyFont="1" applyFill="1" applyBorder="1" applyAlignment="1">
      <x:alignment horizontal="left" vertical="center" wrapText="1"/>
    </x:xf>
    <x:xf numFmtId="0" fontId="2" fillId="12" borderId="13" xfId="0" applyNumberFormat="1" applyFont="1" applyFill="1" applyBorder="1" applyAlignment="1">
      <x:alignment horizontal="center" vertical="center" wrapText="1"/>
    </x:xf>
    <x:xf numFmtId="0" fontId="2" fillId="12" borderId="14" xfId="0" applyNumberFormat="1" applyFont="1" applyFill="1" applyBorder="1" applyAlignment="1">
      <x:alignment horizontal="center" vertical="center" wrapText="1"/>
    </x:xf>
    <x:xf numFmtId="0" fontId="2" fillId="12" borderId="15" xfId="0" applyNumberFormat="1" applyFont="1" applyFill="1" applyBorder="1" applyAlignment="1">
      <x:alignment horizontal="center" vertical="center" wrapText="1"/>
    </x:xf>
    <x:xf numFmtId="0" fontId="5" fillId="16" borderId="16" xfId="0" applyNumberFormat="1" applyFont="1" applyFill="1" applyBorder="1" applyAlignment="1">
      <x:alignment horizontal="left" vertical="center" wrapText="1"/>
    </x:xf>
    <x:xf numFmtId="0" fontId="5" fillId="16" borderId="17" xfId="0" applyNumberFormat="1" applyFont="1" applyFill="1" applyBorder="1" applyAlignment="1">
      <x:alignment horizontal="left" vertical="center" wrapText="1"/>
    </x:xf>
    <x:xf numFmtId="0" fontId="5" fillId="16" borderId="18" xfId="0" applyNumberFormat="1" applyFont="1" applyFill="1" applyBorder="1" applyAlignment="1">
      <x:alignment horizontal="left" vertical="center" wrapText="1"/>
    </x:xf>
    <x:xf numFmtId="0" fontId="0" fillId="14" borderId="7" xfId="0" applyNumberFormat="1" applyFont="1" applyFill="1" applyBorder="1" applyAlignment="1">
      <x:alignment wrapText="1"/>
    </x:xf>
    <x:xf numFmtId="0" fontId="0" fillId="14" borderId="8" xfId="0" applyNumberFormat="1" applyFont="1" applyFill="1" applyBorder="1" applyAlignment="1">
      <x:alignment wrapText="1"/>
    </x:xf>
    <x:xf numFmtId="0" fontId="0" fillId="14" borderId="16" xfId="0" applyNumberFormat="1" applyFont="1" applyFill="1" applyBorder="1" applyAlignment="1">
      <x:alignment wrapText="1"/>
    </x:xf>
    <x:xf numFmtId="0" fontId="0" fillId="14" borderId="17" xfId="0" applyNumberFormat="1" applyFont="1" applyFill="1" applyBorder="1" applyAlignment="1">
      <x:alignment wrapText="1"/>
    </x:xf>
    <x:xf numFmtId="200" fontId="0" fillId="14" borderId="8" xfId="0" applyNumberFormat="1" applyFont="1" applyFill="1" applyBorder="1" applyAlignment="1">
      <x:alignment wrapText="1"/>
    </x:xf>
    <x:xf numFmtId="200" fontId="0" fillId="15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5" fillId="16" borderId="8" xfId="0" applyNumberFormat="1" applyFont="1" applyFill="1" applyBorder="1" applyAlignment="1">
      <x:alignment horizontal="left" vertical="center" wrapText="1"/>
    </x:xf>
    <x:xf numFmtId="200" fontId="0" fillId="0" borderId="11" xfId="0" applyNumberFormat="1" applyFont="1" applyFill="1" applyBorder="1" applyAlignment="1">
      <x:alignment wrapText="1"/>
    </x:xf>
    <x:xf numFmtId="200" fontId="0" fillId="14" borderId="17" xfId="0" applyNumberFormat="1" applyFont="1" applyFill="1" applyBorder="1" applyAlignment="1">
      <x:alignment wrapText="1"/>
    </x:xf>
    <x:xf numFmtId="200" fontId="0" fillId="15" borderId="17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5" fillId="16" borderId="17" xfId="0" applyNumberFormat="1" applyFont="1" applyFill="1" applyBorder="1" applyAlignment="1">
      <x:alignment horizontal="left" vertical="center" wrapText="1"/>
    </x:xf>
    <x:xf numFmtId="200" fontId="0" fillId="0" borderId="20" xfId="0" applyNumberFormat="1" applyFont="1" applyFill="1" applyBorder="1" applyAlignment="1">
      <x:alignment wrapText="1"/>
    </x:xf>
    <x:xf numFmtId="0" fontId="2" fillId="12" borderId="7" xfId="0" applyNumberFormat="1" applyFont="1" applyFill="1" applyBorder="1" applyAlignment="1">
      <x:alignment horizontal="center" vertical="center" wrapText="1"/>
    </x:xf>
    <x:xf numFmtId="0" fontId="2" fillId="12" borderId="8" xfId="0" applyNumberFormat="1" applyFont="1" applyFill="1" applyBorder="1" applyAlignment="1">
      <x:alignment horizontal="center" vertical="center" wrapText="1"/>
    </x:xf>
    <x:xf numFmtId="0" fontId="2" fillId="12" borderId="16" xfId="0" applyNumberFormat="1" applyFont="1" applyFill="1" applyBorder="1" applyAlignment="1">
      <x:alignment horizontal="center" vertical="center" wrapText="1"/>
    </x:xf>
    <x:xf numFmtId="0" fontId="2" fillId="12" borderId="17" xfId="0" applyNumberFormat="1" applyFont="1" applyFill="1" applyBorder="1" applyAlignment="1">
      <x:alignment horizontal="center" vertical="center" wrapText="1"/>
    </x:xf>
    <x:xf numFmtId="0" fontId="2" fillId="12" borderId="9" xfId="0" applyNumberFormat="1" applyFont="1" applyFill="1" applyBorder="1" applyAlignment="1">
      <x:alignment horizontal="center" vertical="center" wrapText="1"/>
    </x:xf>
    <x:xf numFmtId="0" fontId="2" fillId="12" borderId="18" xfId="0" applyNumberFormat="1" applyFont="1" applyFill="1" applyBorder="1" applyAlignment="1">
      <x:alignment horizontal="center" vertical="center" wrapText="1"/>
    </x:xf>
    <x:xf numFmtId="201" fontId="0" fillId="0" borderId="8" xfId="0" applyNumberFormat="1" applyFont="1" applyFill="1" applyBorder="1" applyAlignment="1">
      <x:alignment wrapText="1"/>
    </x:xf>
    <x:xf numFmtId="201" fontId="2" fillId="12" borderId="8" xfId="0" applyNumberFormat="1" applyFont="1" applyFill="1" applyBorder="1" applyAlignment="1">
      <x:alignment horizontal="center" vertical="center" wrapText="1"/>
    </x:xf>
    <x:xf numFmtId="201" fontId="0" fillId="0" borderId="11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  <x:xf numFmtId="201" fontId="2" fillId="12" borderId="17" xfId="0" applyNumberFormat="1" applyFont="1" applyFill="1" applyBorder="1" applyAlignment="1">
      <x:alignment horizontal="center" vertical="center" wrapText="1"/>
    </x:xf>
    <x:xf numFmtId="201" fontId="0" fillId="0" borderId="20" xfId="0" applyNumberFormat="1" applyFont="1" applyFill="1" applyBorder="1" applyAlignment="1">
      <x:alignment wrapText="1"/>
    </x:xf>
    <x:xf numFmtId="201" fontId="0" fillId="15" borderId="8" xfId="0" applyNumberFormat="1" applyFont="1" applyFill="1" applyBorder="1" applyAlignment="1">
      <x:alignment wrapText="1"/>
    </x:xf>
    <x:xf numFmtId="201" fontId="0" fillId="15" borderId="17" xfId="0" applyNumberFormat="1" applyFont="1" applyFill="1" applyBorder="1" applyAlignment="1">
      <x:alignment wrapText="1"/>
    </x:xf>
    <x:xf numFmtId="201" fontId="0" fillId="15" borderId="11" xfId="0" applyNumberFormat="1" applyFont="1" applyFill="1" applyBorder="1" applyAlignment="1">
      <x:alignment wrapText="1"/>
    </x:xf>
    <x:xf numFmtId="201" fontId="0" fillId="15" borderId="20" xfId="0" applyNumberFormat="1" applyFont="1" applyFill="1" applyBorder="1" applyAlignment="1">
      <x:alignment wrapText="1"/>
    </x:xf>
    <x:xf numFmtId="0" fontId="0" fillId="17" borderId="7" xfId="0" applyNumberFormat="1" applyFont="1" applyFill="1" applyBorder="1" applyAlignment="1">
      <x:alignment wrapText="1"/>
    </x:xf>
    <x:xf numFmtId="0" fontId="0" fillId="17" borderId="8" xfId="0" applyNumberFormat="1" applyFont="1" applyFill="1" applyBorder="1" applyAlignment="1">
      <x:alignment wrapText="1"/>
    </x:xf>
    <x:xf numFmtId="0" fontId="0" fillId="17" borderId="9" xfId="0" applyNumberFormat="1" applyFont="1" applyFill="1" applyBorder="1" applyAlignment="1">
      <x:alignment wrapText="1"/>
    </x:xf>
    <x:xf numFmtId="0" fontId="0" fillId="17" borderId="10" xfId="0" applyNumberFormat="1" applyFont="1" applyFill="1" applyBorder="1" applyAlignment="1">
      <x:alignment wrapText="1"/>
    </x:xf>
    <x:xf numFmtId="0" fontId="0" fillId="17" borderId="11" xfId="0" applyNumberFormat="1" applyFont="1" applyFill="1" applyBorder="1" applyAlignment="1">
      <x:alignment wrapText="1"/>
    </x:xf>
    <x:xf numFmtId="0" fontId="0" fillId="17" borderId="12" xfId="0" applyNumberFormat="1" applyFont="1" applyFill="1" applyBorder="1" applyAlignment="1">
      <x:alignment wrapText="1"/>
    </x:xf>
    <x:xf numFmtId="0" fontId="0" fillId="17" borderId="16" xfId="0" applyNumberFormat="1" applyFont="1" applyFill="1" applyBorder="1" applyAlignment="1">
      <x:alignment wrapText="1"/>
    </x:xf>
    <x:xf numFmtId="0" fontId="0" fillId="17" borderId="17" xfId="0" applyNumberFormat="1" applyFont="1" applyFill="1" applyBorder="1" applyAlignment="1">
      <x:alignment wrapText="1"/>
    </x:xf>
    <x:xf numFmtId="0" fontId="0" fillId="17" borderId="18" xfId="0" applyNumberFormat="1" applyFont="1" applyFill="1" applyBorder="1" applyAlignment="1">
      <x:alignment wrapText="1"/>
    </x:xf>
    <x:xf numFmtId="0" fontId="0" fillId="17" borderId="19" xfId="0" applyNumberFormat="1" applyFont="1" applyFill="1" applyBorder="1" applyAlignment="1">
      <x:alignment wrapText="1"/>
    </x:xf>
    <x:xf numFmtId="0" fontId="0" fillId="17" borderId="20" xfId="0" applyNumberFormat="1" applyFont="1" applyFill="1" applyBorder="1" applyAlignment="1">
      <x:alignment wrapText="1"/>
    </x:xf>
    <x:xf numFmtId="0" fontId="0" fillId="17" borderId="21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200" fontId="0" fillId="0" borderId="21" xfId="0" applyNumberFormat="1" applyFont="1" applyFill="1" applyBorder="1" applyAlignment="1">
      <x:alignment wrapText="1"/>
    </x:xf>
    <x:xf numFmtId="0" fontId="0" fillId="13" borderId="7" xfId="0" applyNumberFormat="1" applyFont="1" applyFill="1" applyBorder="1" applyAlignment="1">
      <x:alignment wrapText="1"/>
    </x:xf>
    <x:xf numFmtId="0" fontId="0" fillId="13" borderId="16" xfId="0" applyNumberFormat="1" applyFont="1" applyFill="1" applyBorder="1" applyAlignment="1">
      <x:alignment wrapText="1"/>
    </x:xf>
    <x:xf numFmtId="200" fontId="0" fillId="13" borderId="8" xfId="0" applyNumberFormat="1" applyFont="1" applyFill="1" applyBorder="1" applyAlignment="1">
      <x:alignment wrapText="1"/>
    </x:xf>
    <x:xf numFmtId="200" fontId="2" fillId="12" borderId="8" xfId="0" applyNumberFormat="1" applyFont="1" applyFill="1" applyBorder="1" applyAlignment="1">
      <x:alignment horizontal="center" vertical="center" wrapText="1"/>
    </x:xf>
    <x:xf numFmtId="200" fontId="0" fillId="13" borderId="17" xfId="0" applyNumberFormat="1" applyFont="1" applyFill="1" applyBorder="1" applyAlignment="1">
      <x:alignment wrapText="1"/>
    </x:xf>
    <x:xf numFmtId="200" fontId="2" fillId="12" borderId="17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 applyAlignment="1">
      <x:alignment horizontal="left"/>
    </x:xf>
    <x:xf numFmtId="0" fontId="2" fillId="14" borderId="0" xfId="0" applyNumberFormat="1" applyFont="1" applyFill="1" applyBorder="1" applyAlignment="1">
      <x:alignment horizontal="left" wrapText="1"/>
    </x:xf>
    <x:xf numFmtId="0" fontId="3" fillId="14" borderId="0" xfId="0" applyNumberFormat="1" applyFont="1" applyFill="1" applyBorder="1" applyAlignment="1">
      <x:alignment wrapText="1"/>
    </x:xf>
    <x:xf numFmtId="0" fontId="2" fillId="14" borderId="2" xfId="0" applyNumberFormat="1" applyFont="1" applyFill="1" applyBorder="1" applyAlignment="1">
      <x:alignment horizontal="left"/>
    </x:xf>
    <x:xf numFmtId="0" fontId="2" fillId="14" borderId="2" xfId="0" applyNumberFormat="1" applyFont="1" applyFill="1" applyBorder="1" applyAlignment="1">
      <x:alignment horizontal="left" wrapText="1"/>
    </x:xf>
    <x:xf numFmtId="0" fontId="3" fillId="14" borderId="2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vertical="top" wrapText="1"/>
    </x:xf>
    <x:xf numFmtId="164" fontId="0" fillId="14" borderId="1" xfId="0" applyNumberFormat="1" applyFont="1" applyFill="1" applyBorder="1"/>
    <x:xf numFmtId="0" fontId="0" fillId="14" borderId="22" xfId="0" applyNumberFormat="1" applyFont="1" applyFill="1" applyBorder="1" applyAlignment="1">
      <x:alignment vertical="top" wrapText="1"/>
    </x:xf>
    <x:xf numFmtId="164" fontId="0" fillId="14" borderId="23" xfId="0" applyNumberFormat="1" applyFont="1" applyFill="1" applyBorder="1"/>
    <x:xf numFmtId="164" fontId="0" fillId="14" borderId="24" xfId="0" applyNumberFormat="1" applyFont="1" applyFill="1" applyBorder="1"/>
    <x:xf numFmtId="0" fontId="0" fillId="14" borderId="25" xfId="0" applyNumberFormat="1" applyFont="1" applyFill="1" applyBorder="1" applyAlignment="1">
      <x:alignment vertical="top" wrapText="1"/>
    </x:xf>
    <x:xf numFmtId="164" fontId="0" fillId="14" borderId="8" xfId="0" applyNumberFormat="1" applyFont="1" applyFill="1" applyBorder="1"/>
    <x:xf numFmtId="164" fontId="0" fillId="14" borderId="26" xfId="0" applyNumberFormat="1" applyFont="1" applyFill="1" applyBorder="1"/>
    <x:xf numFmtId="0" fontId="0" fillId="14" borderId="27" xfId="0" applyNumberFormat="1" applyFont="1" applyFill="1" applyBorder="1" applyAlignment="1">
      <x:alignment vertical="top" wrapText="1"/>
    </x:xf>
    <x:xf numFmtId="164" fontId="0" fillId="14" borderId="28" xfId="0" applyNumberFormat="1" applyFont="1" applyFill="1" applyBorder="1"/>
    <x:xf numFmtId="164" fontId="0" fillId="14" borderId="29" xfId="0" applyNumberFormat="1" applyFont="1" applyFill="1" applyBorder="1"/>
    <x:xf numFmtId="0" fontId="0" fillId="14" borderId="3" xfId="0" applyNumberFormat="1" applyFont="1" applyFill="1" applyBorder="1" applyAlignment="1">
      <x:alignment vertical="top" wrapText="1"/>
    </x:xf>
    <x:xf numFmtId="164" fontId="0" fillId="14" borderId="3" xfId="0" applyNumberFormat="1" applyFont="1" applyFill="1" applyBorder="1"/>
    <x:xf numFmtId="0" fontId="0" fillId="14" borderId="30" xfId="0" applyNumberFormat="1" applyFont="1" applyFill="1" applyBorder="1" applyAlignment="1">
      <x:alignment vertical="top" wrapText="1"/>
    </x:xf>
    <x:xf numFmtId="164" fontId="0" fillId="14" borderId="31" xfId="0" applyNumberFormat="1" applyFont="1" applyFill="1" applyBorder="1"/>
    <x:xf numFmtId="164" fontId="0" fillId="14" borderId="32" xfId="0" applyNumberFormat="1" applyFont="1" applyFill="1" applyBorder="1"/>
    <x:xf numFmtId="0" fontId="0" fillId="14" borderId="33" xfId="0" applyNumberFormat="1" applyFont="1" applyFill="1" applyBorder="1" applyAlignment="1">
      <x:alignment vertical="top" wrapText="1"/>
    </x:xf>
    <x:xf numFmtId="164" fontId="0" fillId="14" borderId="17" xfId="0" applyNumberFormat="1" applyFont="1" applyFill="1" applyBorder="1"/>
    <x:xf numFmtId="164" fontId="0" fillId="14" borderId="34" xfId="0" applyNumberFormat="1" applyFont="1" applyFill="1" applyBorder="1"/>
    <x:xf numFmtId="0" fontId="0" fillId="14" borderId="35" xfId="0" applyNumberFormat="1" applyFont="1" applyFill="1" applyBorder="1" applyAlignment="1">
      <x:alignment vertical="top" wrapText="1"/>
    </x:xf>
    <x:xf numFmtId="164" fontId="0" fillId="14" borderId="36" xfId="0" applyNumberFormat="1" applyFont="1" applyFill="1" applyBorder="1"/>
    <x:xf numFmtId="164" fontId="0" fillId="14" borderId="37" xfId="0" applyNumberFormat="1" applyFont="1" applyFill="1" applyBorder="1"/>
    <x:xf numFmtId="164" fontId="0" fillId="14" borderId="22" xfId="0" applyNumberFormat="1" applyFont="1" applyFill="1" applyBorder="1"/>
    <x:xf numFmtId="164" fontId="0" fillId="14" borderId="25" xfId="0" applyNumberFormat="1" applyFont="1" applyFill="1" applyBorder="1"/>
    <x:xf numFmtId="164" fontId="0" fillId="14" borderId="27" xfId="0" applyNumberFormat="1" applyFont="1" applyFill="1" applyBorder="1"/>
    <x:xf numFmtId="164" fontId="0" fillId="14" borderId="30" xfId="0" applyNumberFormat="1" applyFont="1" applyFill="1" applyBorder="1"/>
    <x:xf numFmtId="164" fontId="0" fillId="14" borderId="33" xfId="0" applyNumberFormat="1" applyFont="1" applyFill="1" applyBorder="1"/>
    <x:xf numFmtId="164" fontId="0" fillId="14" borderId="35" xfId="0" applyNumberFormat="1" applyFont="1" applyFill="1" applyBorder="1"/>
    <x:xf numFmtId="164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164" fontId="0" fillId="5" borderId="1" xfId="0" applyNumberFormat="1" applyFont="1" applyFill="1" applyBorder="1"/>
    <x:xf numFmtId="164" fontId="0" fillId="6" borderId="1" xfId="0" applyNumberFormat="1" applyFont="1" applyFill="1" applyBorder="1"/>
    <x:xf numFmtId="164" fontId="0" fillId="7" borderId="1" xfId="0" applyNumberFormat="1" applyFont="1" applyFill="1" applyBorder="1"/>
    <x:xf numFmtId="0" fontId="0" fillId="8" borderId="1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164" fontId="0" fillId="4" borderId="1" xfId="0" applyNumberFormat="1" applyFont="1" applyFill="1" applyBorder="1"/>
    <x:xf numFmtId="0" fontId="3" fillId="1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164" fontId="0" fillId="4" borderId="23" xfId="0" applyNumberFormat="1" applyFont="1" applyFill="1" applyBorder="1"/>
    <x:xf numFmtId="164" fontId="0" fillId="4" borderId="8" xfId="0" applyNumberFormat="1" applyFont="1" applyFill="1" applyBorder="1"/>
    <x:xf numFmtId="0" fontId="0" fillId="4" borderId="28" xfId="0" applyNumberFormat="1" applyFont="1" applyFill="1" applyBorder="1"/>
    <x:xf numFmtId="164" fontId="0" fillId="4" borderId="23" xfId="0" applyNumberFormat="1" applyFont="1" applyFill="1" applyBorder="1" applyAlignment="1">
      <x:alignment wrapText="1"/>
    </x:xf>
    <x:xf numFmtId="164" fontId="0" fillId="4" borderId="8" xfId="0" applyNumberFormat="1" applyFont="1" applyFill="1" applyBorder="1" applyAlignment="1">
      <x:alignment wrapText="1"/>
    </x:xf>
    <x:xf numFmtId="0" fontId="0" fillId="4" borderId="28" xfId="0" applyNumberFormat="1" applyFont="1" applyFill="1" applyBorder="1" applyAlignment="1">
      <x:alignment wrapText="1"/>
    </x:xf>
    <x:xf numFmtId="164" fontId="0" fillId="4" borderId="28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164" fontId="0" fillId="6" borderId="5" xfId="0" applyNumberFormat="1" applyFont="1" applyFill="1" applyBorder="1" applyAlignment="1">
      <x:alignment wrapText="1"/>
    </x:xf>
    <x:xf numFmtId="164" fontId="0" fillId="6" borderId="8" xfId="0" applyNumberFormat="1" applyFont="1" applyFill="1" applyBorder="1" applyAlignment="1">
      <x:alignment wrapText="1"/>
    </x:xf>
    <x:xf numFmtId="164" fontId="0" fillId="6" borderId="11" xfId="0" applyNumberFormat="1" applyFont="1" applyFill="1" applyBorder="1" applyAlignment="1">
      <x:alignment wrapText="1"/>
    </x:xf>
    <x:xf numFmtId="200" fontId="0" fillId="6" borderId="8" xfId="0" applyNumberFormat="1" applyFont="1" applyFill="1" applyBorder="1" applyAlignment="1">
      <x:alignment wrapText="1"/>
    </x:xf>
    <x:xf numFmtId="201" fontId="0" fillId="6" borderId="8" xfId="0" applyNumberFormat="1" applyFont="1" applyFill="1" applyBorder="1" applyAlignment="1">
      <x:alignment wrapText="1"/>
    </x:xf>
    <x:xf numFmtId="201" fontId="0" fillId="6" borderId="11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0" fontId="0" fillId="8" borderId="9" xfId="0" applyNumberFormat="1" applyFont="1" applyFill="1" applyBorder="1" applyAlignment="1">
      <x:alignment wrapText="1"/>
    </x:xf>
    <x:xf numFmtId="0" fontId="0" fillId="8" borderId="10" xfId="0" applyNumberFormat="1" applyFont="1" applyFill="1" applyBorder="1" applyAlignment="1">
      <x:alignment wrapText="1"/>
    </x:xf>
    <x:xf numFmtId="0" fontId="0" fillId="8" borderId="11" xfId="0" applyNumberFormat="1" applyFont="1" applyFill="1" applyBorder="1" applyAlignment="1">
      <x:alignment wrapText="1"/>
    </x:xf>
    <x:xf numFmtId="0" fontId="0" fillId="8" borderId="12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200" fontId="0" fillId="4" borderId="8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2" fillId="18" borderId="0" xfId="0" applyNumberFormat="1" applyFont="1" applyFill="1" applyBorder="1" applyAlignment="1">
      <x:alignment horizont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wrapText="1"/>
    </x:xf>
    <x:xf numFmtId="0" fontId="2" fillId="1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8304b168ad4d3b" /><Relationship Type="http://schemas.openxmlformats.org/officeDocument/2006/relationships/theme" Target="/xl/theme/theme1.xml" Id="Rb48b3e5fb1994d7b" /><Relationship Type="http://schemas.openxmlformats.org/officeDocument/2006/relationships/sharedStrings" Target="/xl/sharedStrings.xml" Id="R901dd535fd0f4569" /><Relationship Type="http://schemas.openxmlformats.org/officeDocument/2006/relationships/worksheet" Target="/xl/worksheets/sheet1.xml" Id="R0e6b1f5ef9e84e82" /><Relationship Type="http://schemas.openxmlformats.org/officeDocument/2006/relationships/worksheet" Target="/xl/worksheets/sheet2.xml" Id="R766f967552ea4970" /><Relationship Type="http://schemas.openxmlformats.org/officeDocument/2006/relationships/worksheet" Target="/xl/worksheets/sheet3.xml" Id="R277fdc0e354548af" /><Relationship Type="http://schemas.openxmlformats.org/officeDocument/2006/relationships/worksheet" Target="/xl/worksheets/sheet4.xml" Id="Re72e8c59d0ea4404" /><Relationship Type="http://schemas.openxmlformats.org/officeDocument/2006/relationships/worksheet" Target="/xl/worksheets/sheet5.xml" Id="R8a890857564f41c8" /><Relationship Type="http://schemas.openxmlformats.org/officeDocument/2006/relationships/worksheet" Target="/xl/worksheets/sheet6.xml" Id="Rd0f0afcd6f7c42a2" /><Relationship Type="http://schemas.openxmlformats.org/officeDocument/2006/relationships/worksheet" Target="/xl/worksheets/sheet7.xml" Id="R6e9bcdf4725f4538" /><Relationship Type="http://schemas.openxmlformats.org/officeDocument/2006/relationships/worksheet" Target="/xl/worksheets/sheet8.xml" Id="R04f619820e984e79" /><Relationship Type="http://schemas.openxmlformats.org/officeDocument/2006/relationships/worksheet" Target="/xl/worksheets/sheet9.xml" Id="Rbe4bda801fb2447f" /><Relationship Type="http://schemas.openxmlformats.org/officeDocument/2006/relationships/worksheet" Target="/xl/worksheets/sheet10.xml" Id="R0b253d0c87c04564" /><Relationship Type="http://schemas.openxmlformats.org/officeDocument/2006/relationships/worksheet" Target="/xl/worksheets/sheet11.xml" Id="Rade6fd7e71964d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f05041532348bc" /><Relationship Type="http://schemas.openxmlformats.org/officeDocument/2006/relationships/chart" Target="/xl/drawings/charts/chart2.xml" Id="R489f2c6eb67d4fcf" /><Relationship Type="http://schemas.openxmlformats.org/officeDocument/2006/relationships/chart" Target="/xl/drawings/charts/chart3.xml" Id="R5751ac3af49e4b6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Fuerza de piso Fx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Z [m]</c:v>
          </c:tx>
          <c:cat>
            <c:strRef>
              <c:f>'09_Gráficos'!$A$4:$A$8</c:f>
              <c:strCache>
                <c:ptCount val="0"/>
              </c:strCache>
            </c:strRef>
          </c:cat>
          <c:val>
            <c:numRef>
              <c:f>'09_Gráficos'!$B$4:$B$8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F_x</c:v>
          </c:tx>
          <c:cat>
            <c:strRef>
              <c:f>'09_Gráficos'!$A$4:$A$8</c:f>
              <c:strCache>
                <c:ptCount val="0"/>
              </c:strCache>
            </c:strRef>
          </c:cat>
          <c:val>
            <c:numRef>
              <c:f>'09_Gráficos'!$C$4:$C$8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Corte acumulado Vx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Z [m]</c:v>
          </c:tx>
          <c:cat>
            <c:strRef>
              <c:f>'09_Gráficos'!$A$4:$A$8</c:f>
              <c:strCache>
                <c:ptCount val="0"/>
              </c:strCache>
            </c:strRef>
          </c:cat>
          <c:val>
            <c:numRef>
              <c:f>'09_Gráficos'!$B$4:$B$8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F_x</c:v>
          </c:tx>
          <c:cat>
            <c:strRef>
              <c:f>'09_Gráficos'!$A$4:$A$8</c:f>
              <c:strCache>
                <c:ptCount val="0"/>
              </c:strCache>
            </c:strRef>
          </c:cat>
          <c:val>
            <c:numRef>
              <c:f>'09_Gráficos'!$C$4:$C$8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Vx acumulado</c:v>
          </c:tx>
          <c:cat>
            <c:strRef>
              <c:f>'09_Gráficos'!$A$4:$A$8</c:f>
              <c:strCache>
                <c:ptCount val="0"/>
              </c:strCache>
            </c:strRef>
          </c:cat>
          <c:val>
            <c:numRef>
              <c:f>'09_Gráficos'!$D$4:$D$8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Momento volcante X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Z [m]</c:v>
          </c:tx>
          <c:cat>
            <c:strRef>
              <c:f>'09_Gráficos'!$A$4:$A$8</c:f>
              <c:strCache>
                <c:ptCount val="0"/>
              </c:strCache>
            </c:strRef>
          </c:cat>
          <c:val>
            <c:numRef>
              <c:f>'09_Gráficos'!$B$4:$B$8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F_x</c:v>
          </c:tx>
          <c:cat>
            <c:strRef>
              <c:f>'09_Gráficos'!$A$4:$A$8</c:f>
              <c:strCache>
                <c:ptCount val="0"/>
              </c:strCache>
            </c:strRef>
          </c:cat>
          <c:val>
            <c:numRef>
              <c:f>'09_Gráficos'!$C$4:$C$8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Vx acumulado</c:v>
          </c:tx>
          <c:cat>
            <c:strRef>
              <c:f>'09_Gráficos'!$A$4:$A$8</c:f>
              <c:strCache>
                <c:ptCount val="0"/>
              </c:strCache>
            </c:strRef>
          </c:cat>
          <c:val>
            <c:numRef>
              <c:f>'09_Gráficos'!$D$4:$D$8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Mvolc_X</c:v>
          </c:tx>
          <c:cat>
            <c:strRef>
              <c:f>'09_Gráficos'!$A$4:$A$8</c:f>
              <c:strCache>
                <c:ptCount val="0"/>
              </c:strCache>
            </c:strRef>
          </c:cat>
          <c:val>
            <c:numRef>
              <c:f>'09_Gráficos'!$E$4:$E$8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f05041532348bc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11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9f2c6eb67d4fcf"/>
        </a:graphicData>
      </a:graphic>
    </xdr:graphicFrame>
    <xdr:clientData/>
  </xdr:twoCellAnchor>
  <xdr:twoCellAnchor>
    <xdr:from>
      <xdr:col>0</xdr:col>
      <xdr:colOff>0</xdr:colOff>
      <xdr:row>11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51ac3af49e4b6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ca97212dda9a4a4f" /></Relationships>
</file>

<file path=xl/worksheets/sheet1.xml><?xml version="1.0" encoding="utf-8"?>
<worksheet xmlns="http://schemas.openxmlformats.org/spreadsheetml/2006/main">
  <sheetFormatPr baseColWidth="10" defaultColWidth="9.140625" defaultRowHeight="15"/>
  <cols>
    <col min="1" max="1" width="28" hidden="0" customWidth="1"/>
    <col min="2" max="8" width="26.7109375" customWidth="1"/>
    <col min="2" max="2" width="22" hidden="0" customWidth="1"/>
    <col min="3" max="3" width="76" hidden="0" customWidth="1"/>
    <col min="4" max="4" width="12" hidden="0" customWidth="1"/>
    <col min="5" max="5" width="12" hidden="0" customWidth="1"/>
    <col min="6" max="6" width="12" hidden="0" customWidth="1"/>
    <col min="7" max="7" width="12" hidden="0" customWidth="1"/>
    <col min="8" max="8" width="12" hidden="0" customWidth="1"/>
  </cols>
  <sheetData>
    <row r="1" ht="24" customHeight="1">
      <c r="A1" s="28" t="str">
        <v>Edificio 2 — Método estático equivalente manual + ETABS</v>
      </c>
      <c r="B1"/>
      <c r="C1"/>
      <c r="D1"/>
      <c r="E1"/>
      <c r="F1"/>
      <c r="G1"/>
      <c r="H1"/>
    </row>
    <row r="2">
      <c r="A2"/>
      <c r="B2"/>
      <c r="C2"/>
      <c r="D2"/>
      <c r="E2"/>
      <c r="F2"/>
      <c r="G2"/>
      <c r="H2"/>
    </row>
    <row r="3">
      <c r="A3" s="38" t="str">
        <v>Qué contiene esta versión</v>
      </c>
      <c r="B3" s="38" t="str">
        <v>Estado</v>
      </c>
      <c r="C3" s="38" t="str">
        <v>Notas</v>
      </c>
    </row>
    <row r="4">
      <c r="A4" s="53" t="str">
        <v>Inputs originales de ETABS</v>
      </c>
      <c r="B4" s="54" t="str">
        <v>Mantenidos</v>
      </c>
      <c r="C4" s="55" t="inlineStr">
        <is>
          <t>Actualizado desde modelo corregido WS2: ED2_CLASE_METODO_ESTATICO_AMBOS_RZ_MASA_CORREGIDA_20260512_170352.EDB.</t>
        </is>
      </c>
    </row>
    <row r="5" ht="30">
      <c r="A5" s="56" t="str">
        <v>Masa sísmica</v>
      </c>
      <c r="B5" s="57" t="str">
        <v>Corregida/explicitada</v>
      </c>
      <c r="C5" s="58" t="inlineStr">
        <is>
          <t>SCT=0 en masa sismica del modelo ETABS corregido; SCT sigue en cargas gravitacionales.</t>
        </is>
      </c>
    </row>
    <row r="6" ht="30">
      <c r="A6" s="56" t="str">
        <v>Cálculo C, Q0, Fk y torsión</v>
      </c>
      <c r="B6" s="57" t="str">
        <v>Formulado</v>
      </c>
      <c r="C6" s="58" t="str">
        <v>Los resultados se actualizan si cambias T*, Pk, dimensiones o parámetros normativos.</v>
      </c>
    </row>
    <row r="7">
      <c r="A7" s="56" t="str">
        <v>Torsión accidental</v>
      </c>
      <c r="B7" s="57" t="str">
        <v>Corregida</v>
      </c>
      <c r="C7" s="58" t="str">
        <v>Mt_X y Mt_Y quedaron por fórmula: Fk·ea,k, no hardcodeadas.</v>
      </c>
    </row>
    <row r="8" ht="45">
      <c r="A8" s="56" t="str">
        <v>Combinaciones</v>
      </c>
      <c r="B8" s="57" t="str">
        <v>Completo</v>
      </c>
      <c r="C8" s="58" t="str">
        <v>Incluye las 19 combinaciones de resistencia + combos de drift de servicio.</v>
      </c>
    </row>
    <row r="9">
      <c r="A9" s="56" t="str">
        <v>Momentos volcantes</v>
      </c>
      <c r="B9" s="57" t="str">
        <v>Agregado</v>
      </c>
      <c r="C9" s="58" t="str">
        <v>En 04_Distribución se agregan Mvolc_X y Mvolc_Y por nivel.</v>
      </c>
    </row>
    <row r="10">
      <c r="A10" s="59" t="str">
        <v>Controles ETABS</v>
      </c>
      <c r="B10" s="60" t="str">
        <v>Plantilla agregada</v>
      </c>
      <c r="C10" s="61" t="str">
        <v>Hoja 10_Controles_ETABS deja celdas en blanco para pegar reacciones, story forces y drift.</v>
      </c>
    </row>
    <row r="11">
      <c r="A11"/>
      <c r="B11"/>
      <c r="C11"/>
    </row>
    <row r="12">
      <c r="A12" s="81" t="str">
        <v>Leyenda</v>
      </c>
      <c r="B12"/>
      <c r="C12"/>
    </row>
    <row r="13">
      <c r="A13" s="85" t="str">
        <v>Amarillo</v>
      </c>
      <c r="B13" t="str">
        <v>Editable/Input</v>
      </c>
      <c r="C13" t="str">
        <v>Datos que puedes cambiar si ETABS o el profesor ajustan valores.</v>
      </c>
    </row>
    <row r="14">
      <c r="A14" s="89" t="str">
        <v>Azul</v>
      </c>
      <c r="B14" t="str">
        <v>Dato ETABS</v>
      </c>
      <c r="C14" t="str">
        <v>Datos que vienen desde ETABS/API/OUT.</v>
      </c>
    </row>
    <row r="15">
      <c r="A15" t="str">
        <v>Verde</v>
      </c>
      <c r="B15" t="str">
        <v>Fórmula</v>
      </c>
      <c r="C15" t="str">
        <v>Cálculos derivados. No tocar salvo que cambie el método.</v>
      </c>
    </row>
  </sheetData>
  <mergeCells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baseColWidth="10" defaultColWidth="9.140625" defaultRowHeight="15"/>
  <cols>
    <col min="1" max="1" width="34" hidden="0" customWidth="1"/>
    <col min="2" max="2" width="16" hidden="0" customWidth="1"/>
    <col min="3" max="4" width="38.7109375" customWidth="1"/>
    <col min="3" max="3" width="16" hidden="0" customWidth="1"/>
    <col min="4" max="4" width="72" hidden="0" customWidth="1"/>
  </cols>
  <sheetData>
    <row r="1">
      <c r="A1" s="93" t="s">
        <v>0</v>
      </c>
      <c r="B1" s="93" t="s">
        <v>1</v>
      </c>
      <c r="C1" s="93" t="s">
        <v>2</v>
      </c>
      <c r="D1" s="93" t="s">
        <v>3</v>
      </c>
    </row>
    <row r="2" ht="30">
      <c r="A2" s="98" t="s">
        <v>4</v>
      </c>
      <c r="B2" s="114">
        <v>0.4</v>
      </c>
      <c r="C2" s="115" t="s">
        <v>5</v>
      </c>
      <c r="D2" s="101" t="s">
        <v>6</v>
      </c>
    </row>
    <row r="3">
      <c r="A3" s="102" t="s">
        <v>7</v>
      </c>
      <c r="B3" s="116">
        <v>1.05</v>
      </c>
      <c r="C3" s="117" t="s">
        <v>5</v>
      </c>
      <c r="D3" s="105" t="s">
        <v>8</v>
      </c>
    </row>
    <row r="4">
      <c r="A4" s="102" t="s">
        <v>9</v>
      </c>
      <c r="B4" s="116">
        <v>1</v>
      </c>
      <c r="C4" s="117" t="s">
        <v>5</v>
      </c>
      <c r="D4" s="105" t="s">
        <v>10</v>
      </c>
    </row>
    <row r="5" ht="30">
      <c r="A5" s="102" t="s">
        <v>11</v>
      </c>
      <c r="B5" s="116">
        <v>7</v>
      </c>
      <c r="C5" s="117" t="s">
        <v>5</v>
      </c>
      <c r="D5" s="105" t="s">
        <v>12</v>
      </c>
    </row>
    <row r="6">
      <c r="A6" s="102" t="s">
        <v>13</v>
      </c>
      <c r="B6" s="116">
        <v>0.45</v>
      </c>
      <c r="C6" s="117" t="s">
        <v>5</v>
      </c>
      <c r="D6" s="105" t="s">
        <v>8</v>
      </c>
    </row>
    <row r="7">
      <c r="A7" s="102" t="s">
        <v>14</v>
      </c>
      <c r="B7" s="116">
        <v>1.4</v>
      </c>
      <c r="C7" s="117" t="s">
        <v>5</v>
      </c>
      <c r="D7" s="105" t="s">
        <v>15</v>
      </c>
    </row>
    <row r="8">
      <c r="A8" s="102" t="s">
        <v>16</v>
      </c>
      <c r="B8" s="116">
        <v>15.5</v>
      </c>
      <c r="C8" s="118" t="s">
        <v>17</v>
      </c>
      <c r="D8" s="105" t="s">
        <v>18</v>
      </c>
    </row>
    <row r="9">
      <c r="A9" s="102" t="s">
        <v>19</v>
      </c>
      <c r="B9" s="116">
        <v>32.5</v>
      </c>
      <c r="C9" s="118" t="s">
        <v>17</v>
      </c>
      <c r="D9" s="105" t="s">
        <v>20</v>
      </c>
    </row>
    <row r="10">
      <c r="A10" s="102" t="s">
        <v>21</v>
      </c>
      <c r="B10" s="116">
        <v>32.5</v>
      </c>
      <c r="C10" s="118" t="s">
        <v>17</v>
      </c>
      <c r="D10" s="105" t="s">
        <v>20</v>
      </c>
    </row>
    <row r="11">
      <c r="A11" s="102" t="s">
        <v>22</v>
      </c>
      <c r="B11" s="116">
        <v>1056.25</v>
      </c>
      <c r="C11" s="118" t="s">
        <v>17</v>
      </c>
      <c r="D11" s="105" t="s">
        <v>23</v>
      </c>
    </row>
    <row r="12">
      <c r="A12" s="102" t="s">
        <v>24</v>
      </c>
      <c r="B12" s="116">
        <v>0.400467051740529</v>
      </c>
      <c r="C12" s="117" t="s">
        <v>5</v>
      </c>
      <c r="D12" s="105" t="inlineStr">
        <is>
          <t>Modelo corregido: modo 2 con mayor UX=0.868204.</t>
        </is>
      </c>
    </row>
    <row r="13">
      <c r="A13" s="102" t="s">
        <v>26</v>
      </c>
      <c r="B13" s="116">
        <v>0.400491930947899</v>
      </c>
      <c r="C13" s="117" t="s">
        <v>5</v>
      </c>
      <c r="D13" s="105" t="inlineStr">
        <is>
          <t>Modelo corregido: modo 1 con mayor UY=0.868197.</t>
        </is>
      </c>
    </row>
    <row r="14">
      <c r="A14" s="102" t="str">
        <v>Factor sobrecarga piso masa (SCP)</v>
      </c>
      <c r="B14" s="116" t="n">
        <v>0.25</v>
      </c>
      <c r="C14" s="117" t="str">
        <v>Editable</v>
      </c>
      <c r="D14" s="105" t="str">
        <v>No aglomeración: 25% de sobrecarga de piso en masa sísmica.</v>
      </c>
    </row>
    <row r="15">
      <c r="A15" s="119" t="str">
        <v>Factor sobrecarga techo masa (SCT)</v>
      </c>
      <c r="B15" s="116">
        <v>0</v>
      </c>
      <c r="C15" s="57" t="str">
        <v>Editable</v>
      </c>
      <c r="D15" s="121" t="inlineStr">
        <is>
          <t>Clase sismo 14: SCT no entra a la masa sismica; permanece como carga gravitacional.</t>
        </is>
      </c>
    </row>
    <row r="16">
      <c r="A16" s="119" t="str">
        <v>Tz* [s]</v>
      </c>
      <c r="B16" s="116">
        <v>0.35429739826447</v>
      </c>
      <c r="C16" s="57" t="str">
        <v>Editable</v>
      </c>
      <c r="D16" s="121" t="str">
        <v>Modo torsional de referencia desde tabla modal ETABS; actualizar si cambia el modelo.</v>
      </c>
    </row>
    <row r="17">
      <c r="A17" s="119" t="str">
        <v>Modo Tx*</v>
      </c>
      <c r="B17" s="116">
        <v>2</v>
      </c>
      <c r="C17" s="57" t="str">
        <v>ETABS</v>
      </c>
      <c r="D17" s="121" t="str">
        <v>Modo con mayor masa equivalente UX.</v>
      </c>
    </row>
    <row r="18">
      <c r="A18" s="119" t="str">
        <v>Modo Ty*</v>
      </c>
      <c r="B18" s="116">
        <v>1</v>
      </c>
      <c r="C18" s="57" t="str">
        <v>ETABS</v>
      </c>
      <c r="D18" s="121" t="str">
        <v>Modo con mayor masa equivalente UY.</v>
      </c>
    </row>
    <row r="19">
      <c r="A19" s="119" t="str">
        <v>Modo Tz*</v>
      </c>
      <c r="B19" s="116">
        <v>3</v>
      </c>
      <c r="C19" s="57" t="str">
        <v>ETABS</v>
      </c>
      <c r="D19" s="121" t="str">
        <v>Modo torsional dominante RZ.</v>
      </c>
    </row>
    <row r="20">
      <c r="A20" s="119" t="str">
        <v>Factor torsión accidental</v>
      </c>
      <c r="B20" s="116" t="n">
        <v>0.1</v>
      </c>
      <c r="C20" s="57" t="str">
        <v>Fijo</v>
      </c>
      <c r="D20" s="121" t="str">
        <v>ea,k = 0,10·b·Zk/H.</v>
      </c>
    </row>
    <row r="21">
      <c r="A21" s="119" t="str">
        <v>Factor sísmico combos</v>
      </c>
      <c r="B21" s="116" t="n">
        <v>1.4</v>
      </c>
      <c r="C21" s="57" t="str">
        <v>Fijo</v>
      </c>
      <c r="D21" s="121" t="str">
        <v>Factor 1,4 aplicado a E y T en combinaciones de resistencia.</v>
      </c>
    </row>
    <row r="22">
      <c r="A22" s="119" t="str">
        <v>Límite drift CM</v>
      </c>
      <c r="B22" s="116" t="n">
        <v>0.002</v>
      </c>
      <c r="C22" s="57" t="str">
        <v>Editable</v>
      </c>
      <c r="D22" s="121" t="str">
        <v>Control de desplazamiento relativo en centro de masa.</v>
      </c>
    </row>
    <row r="23">
      <c r="A23" s="119" t="str">
        <v>Límite drift max-CM</v>
      </c>
      <c r="B23" s="116" t="n">
        <v>0.001</v>
      </c>
      <c r="C23" s="57" t="str">
        <v>Editable</v>
      </c>
      <c r="D23" s="121" t="str">
        <v>Control diferencia drift máximo respecto a drift CM.</v>
      </c>
    </row>
    <row r="24">
      <c r="A24" s="122" t="str">
        <v>Notas de actualización</v>
      </c>
      <c r="B24" s="154" t="str"/>
      <c r="C24" s="124" t="str">
        <v>Editable</v>
      </c>
      <c r="D24" s="125" t="str">
        <v>Usa esta celda para dejar cambios de T*, Pk o criterios del profesor.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FormatPr baseColWidth="10" defaultColWidth="9.140625" defaultRowHeight="15"/>
  <cols>
    <col min="1" max="3" width="18.7109375" customWidth="1"/>
    <col min="5" max="12" width="15.7109375" customWidth="1"/>
    <col min="1" max="1" width="13" hidden="0" customWidth="1"/>
    <col min="2" max="2" width="12" hidden="0" customWidth="1"/>
    <col min="3" max="3" width="14" hidden="0" customWidth="1"/>
    <col min="4" max="4" width="4" hidden="0" customWidth="1"/>
    <col min="5" max="5" width="8" hidden="0" customWidth="1"/>
    <col min="6" max="6" width="13" hidden="0" customWidth="1"/>
    <col min="7" max="7" width="13" hidden="0" customWidth="1"/>
    <col min="8" max="8" width="13" hidden="0" customWidth="1"/>
    <col min="9" max="9" width="13" hidden="0" customWidth="1"/>
    <col min="10" max="10" width="13" hidden="0" customWidth="1"/>
    <col min="11" max="11" width="13" hidden="0" customWidth="1"/>
    <col min="12" max="12" width="13" hidden="0" customWidth="1"/>
  </cols>
  <sheetData>
    <row r="1">
      <c r="A1" s="243" t="s">
        <v>28</v>
      </c>
      <c r="B1" s="244"/>
      <c r="C1" s="244"/>
      <c r="D1" s="244"/>
      <c r="E1" s="243" t="s">
        <v>29</v>
      </c>
      <c r="F1" s="244"/>
      <c r="G1" s="244"/>
      <c r="H1" s="244"/>
      <c r="I1" s="244"/>
      <c r="J1" s="244"/>
      <c r="K1" s="244"/>
      <c r="L1" s="244"/>
    </row>
    <row r="3">
      <c r="A3" s="93" t="s">
        <v>30</v>
      </c>
      <c r="B3" s="93" t="s">
        <v>31</v>
      </c>
      <c r="C3" s="93" t="s">
        <v>32</v>
      </c>
      <c r="D3" s="38"/>
      <c r="E3" s="93" t="s">
        <v>33</v>
      </c>
      <c r="F3" s="93" t="s">
        <v>34</v>
      </c>
      <c r="G3" s="93" t="s">
        <v>35</v>
      </c>
      <c r="H3" s="93" t="s">
        <v>36</v>
      </c>
      <c r="I3" s="93" t="s">
        <v>37</v>
      </c>
      <c r="J3" s="93" t="s">
        <v>38</v>
      </c>
      <c r="K3" s="93" t="s">
        <v>39</v>
      </c>
      <c r="L3" s="93" t="s">
        <v>40</v>
      </c>
    </row>
    <row r="4">
      <c r="A4" s="250" t="s">
        <v>41</v>
      </c>
      <c r="B4" s="251">
        <v>3.5</v>
      </c>
      <c r="C4" s="252">
        <v>1123.825</v>
      </c>
      <c r="D4" s="276"/>
      <c r="E4" s="270">
        <v>1</v>
      </c>
      <c r="F4" s="251">
        <v>0.400491930947899</v>
      </c>
      <c r="G4" s="251">
        <v>0.000175246637484604</v>
      </c>
      <c r="H4" s="251">
        <v>0.868196944853554</v>
      </c>
      <c r="I4" s="251">
        <v>3.72647009395162e-07</v>
      </c>
      <c r="J4" s="251">
        <v>0.000175246637484604</v>
      </c>
      <c r="K4" s="251">
        <v>0.868196944853554</v>
      </c>
      <c r="L4" s="252">
        <v>3.72647009395162e-07</v>
      </c>
    </row>
    <row r="5">
      <c r="A5" s="253" t="s">
        <v>42</v>
      </c>
      <c r="B5" s="254">
        <v>6.5</v>
      </c>
      <c r="C5" s="255">
        <v>1103.688</v>
      </c>
      <c r="D5" s="276"/>
      <c r="E5" s="271">
        <v>2</v>
      </c>
      <c r="F5" s="254">
        <v>0.400467051740529</v>
      </c>
      <c r="G5" s="254">
        <v>0.86820411068121</v>
      </c>
      <c r="H5" s="254">
        <v>0.000175250192535032</v>
      </c>
      <c r="I5" s="254">
        <v>2.53840210316586e-09</v>
      </c>
      <c r="J5" s="254">
        <v>0.868379357318694</v>
      </c>
      <c r="K5" s="254">
        <v>0.868372195046089</v>
      </c>
      <c r="L5" s="255">
        <v>3.75185411498328e-07</v>
      </c>
    </row>
    <row r="6">
      <c r="A6" s="253" t="s">
        <v>43</v>
      </c>
      <c r="B6" s="254">
        <v>9.5</v>
      </c>
      <c r="C6" s="255">
        <v>1066.488</v>
      </c>
      <c r="D6" s="276"/>
      <c r="E6" s="271">
        <v>3</v>
      </c>
      <c r="F6" s="254">
        <v>0.35429739826447</v>
      </c>
      <c r="G6" s="254">
        <v>3.5553334733186e-09</v>
      </c>
      <c r="H6" s="254">
        <v>3.82591812073125e-07</v>
      </c>
      <c r="I6" s="254">
        <v>0.869346421099189</v>
      </c>
      <c r="J6" s="254">
        <v>0.868379360874028</v>
      </c>
      <c r="K6" s="254">
        <v>0.868372577637902</v>
      </c>
      <c r="L6" s="255">
        <v>0.869346796284601</v>
      </c>
    </row>
    <row r="7">
      <c r="A7" s="253" t="s">
        <v>44</v>
      </c>
      <c r="B7" s="254">
        <v>12.5</v>
      </c>
      <c r="C7" s="255">
        <v>1066.488</v>
      </c>
      <c r="D7" s="276"/>
      <c r="E7" s="271">
        <v>4</v>
      </c>
      <c r="F7" s="254">
        <v>0.135741099069907</v>
      </c>
      <c r="G7" s="254">
        <v>3.4278487308325e-05</v>
      </c>
      <c r="H7" s="254">
        <v>0.0994181618732419</v>
      </c>
      <c r="I7" s="254">
        <v>3.29363367500886e-08</v>
      </c>
      <c r="J7" s="254">
        <v>0.868413639361336</v>
      </c>
      <c r="K7" s="254">
        <v>0.967790739511143</v>
      </c>
      <c r="L7" s="255">
        <v>0.869346829220938</v>
      </c>
    </row>
    <row r="8">
      <c r="A8" s="256" t="s">
        <v>45</v>
      </c>
      <c r="B8" s="257">
        <v>15.5</v>
      </c>
      <c r="C8" s="258">
        <v>887.981644</v>
      </c>
      <c r="D8" s="276"/>
      <c r="E8" s="271">
        <v>5</v>
      </c>
      <c r="F8" s="254">
        <v>0.135734403378798</v>
      </c>
      <c r="G8" s="254">
        <v>0.0994146900328739</v>
      </c>
      <c r="H8" s="254">
        <v>3.42767174365715e-05</v>
      </c>
      <c r="I8" s="254">
        <v>2.34474704655568e-10</v>
      </c>
      <c r="J8" s="254">
        <v>0.96782832939421</v>
      </c>
      <c r="K8" s="254">
        <v>0.96782501622858</v>
      </c>
      <c r="L8" s="255">
        <v>0.869346829455412</v>
      </c>
    </row>
    <row r="9">
      <c r="B9" s="276"/>
      <c r="C9" s="276"/>
      <c r="D9" s="276"/>
      <c r="E9" s="271">
        <v>6</v>
      </c>
      <c r="F9" s="254">
        <v>0.120443640774121</v>
      </c>
      <c r="G9" s="254">
        <v>3.38486286383083e-10</v>
      </c>
      <c r="H9" s="254">
        <v>2.84891649156798e-08</v>
      </c>
      <c r="I9" s="254">
        <v>0.0985314589594598</v>
      </c>
      <c r="J9" s="254">
        <v>0.967828329732696</v>
      </c>
      <c r="K9" s="254">
        <v>0.967825044717745</v>
      </c>
      <c r="L9" s="255">
        <v>0.967878288414872</v>
      </c>
    </row>
    <row r="10">
      <c r="B10" s="276"/>
      <c r="C10" s="276"/>
      <c r="D10" s="276"/>
      <c r="E10" s="271">
        <v>7</v>
      </c>
      <c r="F10" s="254">
        <v>0.0783271092797495</v>
      </c>
      <c r="G10" s="254">
        <v>8.72242000061553e-06</v>
      </c>
      <c r="H10" s="254">
        <v>0.0221297101201261</v>
      </c>
      <c r="I10" s="254">
        <v>5.30732853194436e-09</v>
      </c>
      <c r="J10" s="254">
        <v>0.967837052152697</v>
      </c>
      <c r="K10" s="254">
        <v>0.989954754837871</v>
      </c>
      <c r="L10" s="255">
        <v>0.967878293722201</v>
      </c>
    </row>
    <row r="11">
      <c r="B11" s="276"/>
      <c r="C11" s="276"/>
      <c r="D11" s="276"/>
      <c r="E11" s="271">
        <v>8</v>
      </c>
      <c r="F11" s="254">
        <v>0.0783244005375576</v>
      </c>
      <c r="G11" s="254">
        <v>0.0221275354377755</v>
      </c>
      <c r="H11" s="254">
        <v>8.7219360818964e-06</v>
      </c>
      <c r="I11" s="254">
        <v>5.12820353726333e-11</v>
      </c>
      <c r="J11" s="254">
        <v>0.989964587590472</v>
      </c>
      <c r="K11" s="254">
        <v>0.989963476773953</v>
      </c>
      <c r="L11" s="255">
        <v>0.967878293773483</v>
      </c>
    </row>
    <row r="12">
      <c r="B12" s="276"/>
      <c r="C12" s="276"/>
      <c r="D12" s="276"/>
      <c r="E12" s="271">
        <v>9</v>
      </c>
      <c r="F12" s="254">
        <v>0.069659363623838</v>
      </c>
      <c r="G12" s="254">
        <v>4.56932358566157e-11</v>
      </c>
      <c r="H12" s="254">
        <v>2.84430851111733e-09</v>
      </c>
      <c r="I12" s="254">
        <v>0.0221239453164917</v>
      </c>
      <c r="J12" s="254">
        <v>0.989964587636166</v>
      </c>
      <c r="K12" s="254">
        <v>0.989963479618261</v>
      </c>
      <c r="L12" s="255">
        <v>0.990002239089974</v>
      </c>
    </row>
    <row r="13">
      <c r="B13" s="276"/>
      <c r="C13" s="276"/>
      <c r="D13" s="276"/>
      <c r="E13" s="271">
        <v>10</v>
      </c>
      <c r="F13" s="254">
        <v>0.0543682140131016</v>
      </c>
      <c r="G13" s="254">
        <v>3.15390352593966e-06</v>
      </c>
      <c r="H13" s="254">
        <v>0.00730875552742561</v>
      </c>
      <c r="I13" s="254">
        <v>8.60414043517972e-10</v>
      </c>
      <c r="J13" s="254">
        <v>0.989967741539692</v>
      </c>
      <c r="K13" s="254">
        <v>0.997272235145687</v>
      </c>
      <c r="L13" s="255">
        <v>0.990002239950388</v>
      </c>
    </row>
    <row r="14">
      <c r="B14" s="276"/>
      <c r="C14" s="276"/>
      <c r="D14" s="276"/>
      <c r="E14" s="271">
        <v>11</v>
      </c>
      <c r="F14" s="254">
        <v>0.0543671450044669</v>
      </c>
      <c r="G14" s="254">
        <v>0.00730785194419662</v>
      </c>
      <c r="H14" s="254">
        <v>3.1535654183517e-06</v>
      </c>
      <c r="I14" s="254">
        <v>9.94469768034322e-12</v>
      </c>
      <c r="J14" s="254">
        <v>0.997275593483888</v>
      </c>
      <c r="K14" s="254">
        <v>0.997275388711105</v>
      </c>
      <c r="L14" s="255">
        <v>0.990002239960333</v>
      </c>
    </row>
    <row r="15">
      <c r="B15" s="276"/>
      <c r="C15" s="276"/>
      <c r="D15" s="276"/>
      <c r="E15" s="271">
        <v>12</v>
      </c>
      <c r="F15" s="254">
        <v>0.0483712693991154</v>
      </c>
      <c r="G15" s="254">
        <v>4.48916905485044e-12</v>
      </c>
      <c r="H15" s="254">
        <v>2.03668842155107e-10</v>
      </c>
      <c r="I15" s="254">
        <v>0.00733149513300094</v>
      </c>
      <c r="J15" s="254">
        <v>0.997275593488377</v>
      </c>
      <c r="K15" s="254">
        <v>0.997275388914774</v>
      </c>
      <c r="L15" s="255">
        <v>0.997333735093334</v>
      </c>
    </row>
    <row r="16">
      <c r="B16" s="276"/>
      <c r="C16" s="276"/>
      <c r="D16" s="276"/>
      <c r="E16" s="271">
        <v>13</v>
      </c>
      <c r="F16" s="254">
        <v>0.0442572535716479</v>
      </c>
      <c r="G16" s="254">
        <v>1.50579668888065e-06</v>
      </c>
      <c r="H16" s="254">
        <v>0.00272310538134761</v>
      </c>
      <c r="I16" s="254">
        <v>5.07119162936817e-11</v>
      </c>
      <c r="J16" s="254">
        <v>0.997277099285066</v>
      </c>
      <c r="K16" s="254">
        <v>0.999998494296122</v>
      </c>
      <c r="L16" s="255">
        <v>0.997333735144046</v>
      </c>
    </row>
    <row r="17">
      <c r="B17" s="276"/>
      <c r="C17" s="276"/>
      <c r="D17" s="276"/>
      <c r="E17" s="271">
        <v>14</v>
      </c>
      <c r="F17" s="254">
        <v>0.0442569651401466</v>
      </c>
      <c r="G17" s="254">
        <v>0.00272290071482281</v>
      </c>
      <c r="H17" s="254">
        <v>1.50570064117198e-06</v>
      </c>
      <c r="I17" s="254">
        <v>8.81078941038179e-13</v>
      </c>
      <c r="J17" s="254">
        <v>0.999999999999889</v>
      </c>
      <c r="K17" s="254">
        <v>0.999999999996763</v>
      </c>
      <c r="L17" s="255">
        <v>0.997333735144927</v>
      </c>
    </row>
    <row r="18">
      <c r="B18" s="276"/>
      <c r="C18" s="276"/>
      <c r="D18" s="276"/>
      <c r="E18" s="272">
        <v>15</v>
      </c>
      <c r="F18" s="257">
        <v>0.0393823068951457</v>
      </c>
      <c r="G18" s="257">
        <v>1.10869251286762e-13</v>
      </c>
      <c r="H18" s="257">
        <v>3.23687268540381e-12</v>
      </c>
      <c r="I18" s="257">
        <v>0.00266626485507306</v>
      </c>
      <c r="J18" s="257">
        <v>1</v>
      </c>
      <c r="K18" s="257">
        <v>1</v>
      </c>
      <c r="L18" s="258">
        <v>1</v>
      </c>
    </row>
  </sheetData>
  <pageMargins left="0.7" right="0.7" top="0.75" bottom="0.75" header="0.3" footer="0.3"/>
</worksheet>
</file>

<file path=xl/worksheets/sheet4.xml><?xml version="1.0" encoding="utf-8"?>
<x:worksheet xmlns:x="http://schemas.openxmlformats.org/spreadsheetml/2006/main">
  <x:sheetFormatPr baseColWidth="10" defaultColWidth="9.140625" defaultRowHeight="15"/>
  <x:cols>
    <x:col min="1" max="1" width="24" hidden="0" customWidth="1"/>
    <x:col min="2" max="4" width="19.7109375" customWidth="1"/>
    <x:col min="2" max="2" width="16" hidden="0" customWidth="1"/>
    <x:col min="3" max="3" width="16" hidden="0" customWidth="1"/>
    <x:col min="4" max="4" width="14" hidden="0" customWidth="1"/>
    <x:col min="5" max="5" width="36" hidden="0" customWidth="1"/>
    <x:col min="6" max="6" width="56" hidden="0" customWidth="1"/>
  </x:cols>
  <x:sheetData>
    <x:row r="1" ht="24" customHeight="1">
      <x:c r="A1" s="28" t="str">
        <x:v>03 — Coeficiente sísmico y corte basal</x:v>
      </x:c>
      <x:c r="B1"/>
      <x:c r="C1"/>
      <x:c r="D1"/>
    </x:row>
    <x:row r="2" ht="45">
      <x:c r="A2"/>
      <x:c r="B2"/>
      <x:c r="C2"/>
      <x:c r="D2"/>
    </x:row>
    <x:row r="3">
      <x:c r="A3" s="38" t="str">
        <x:v>Cálculo</x:v>
      </x:c>
      <x:c r="B3" s="38" t="str">
        <x:v>X</x:v>
      </x:c>
      <x:c r="C3" s="38" t="str">
        <x:v>Y</x:v>
      </x:c>
      <x:c r="D3" s="38" t="str">
        <x:v>Unidad / tipo</x:v>
      </x:c>
      <x:c r="E3" s="38" t="str">
        <x:v>Fórmula / referencia</x:v>
      </x:c>
      <x:c r="F3" s="38" t="str">
        <x:v>Observación</x:v>
      </x:c>
    </x:row>
    <x:row r="4">
      <x:c r="A4" s="53" t="str">
        <x:v>T* [s]</x:v>
      </x:c>
      <x:c r="B4" s="162" t="n">
        <x:f>'01_Inputs'!$B$12</x:f>
        <x:v>0.4042990005374933</x:v>
      </x:c>
      <x:c r="C4" s="162" t="n">
        <x:f>'01_Inputs'!$B$13</x:f>
        <x:v>0.4043241769057849</x:v>
      </x:c>
      <x:c r="D4" s="54" t="str">
        <x:v>s</x:v>
      </x:c>
      <x:c r="E4" s="54" t="str">
        <x:v>Input editable</x:v>
      </x:c>
      <x:c r="F4" s="55" t="str">
        <x:v>Período del modo con mayor masa traslacional.</x:v>
      </x:c>
    </x:row>
    <x:row r="5" ht="45">
      <x:c r="A5" s="56" t="str">
        <x:v>C raw</x:v>
      </x:c>
      <x:c r="B5" s="163" t="n">
        <x:f>2.75*'01_Inputs'!$B$3*'01_Inputs'!$B$2/'01_Inputs'!$B$5*('01_Inputs'!$B$6/B4)^'01_Inputs'!$B$7</x:f>
        <x:v>0.19168923698588264</x:v>
      </x:c>
      <x:c r="C5" s="163" t="n">
        <x:f>2.75*'01_Inputs'!$B$3*'01_Inputs'!$B$2/'01_Inputs'!$B$5*('01_Inputs'!$B$6/C4)^'01_Inputs'!$B$7</x:f>
        <x:v>0.1916725267058597</x:v>
      </x:c>
      <x:c r="D5" s="57" t="str">
        <x:v>-</x:v>
      </x:c>
      <x:c r="E5" s="57" t="str">
        <x:v>2,75·S·Ao/R·(T'/T*)^n</x:v>
      </x:c>
      <x:c r="F5" s="58" t="str">
        <x:v>Coeficiente antes de límites.</x:v>
      </x:c>
    </x:row>
    <x:row r="6" ht="30">
      <x:c r="A6" s="56" t="str">
        <x:v>Cmin</x:v>
      </x:c>
      <x:c r="B6" s="163" t="n">
        <x:f>'01_Inputs'!$B$2*'01_Inputs'!$B$3/6</x:f>
        <x:v>0.07</x:v>
      </x:c>
      <x:c r="C6" s="163" t="n">
        <x:f>'01_Inputs'!$B$2*'01_Inputs'!$B$3/6</x:f>
        <x:v>0.07</x:v>
      </x:c>
      <x:c r="D6" s="57" t="str">
        <x:v>-</x:v>
      </x:c>
      <x:c r="E6" s="57" t="str">
        <x:v>Ao·S/6</x:v>
      </x:c>
      <x:c r="F6" s="58" t="str">
        <x:v>Mínimo obligatorio.</x:v>
      </x:c>
    </x:row>
    <x:row r="7" ht="30">
      <x:c r="A7" s="56" t="str">
        <x:v>Cmax</x:v>
      </x:c>
      <x:c r="B7" s="163" t="n">
        <x:f>0.35*'01_Inputs'!$B$3*'01_Inputs'!$B$2</x:f>
        <x:v>0.147</x:v>
      </x:c>
      <x:c r="C7" s="163" t="n">
        <x:f>0.35*'01_Inputs'!$B$3*'01_Inputs'!$B$2</x:f>
        <x:v>0.147</x:v>
      </x:c>
      <x:c r="D7" s="57" t="str">
        <x:v>-</x:v>
      </x:c>
      <x:c r="E7" s="57" t="str">
        <x:v>0,35·S·Ao</x:v>
      </x:c>
      <x:c r="F7" s="58" t="str">
        <x:v>Tope usado cuando C raw supera Cmax.</x:v>
      </x:c>
    </x:row>
    <x:row r="8">
      <x:c r="A8" s="56" t="str">
        <x:v>C usado</x:v>
      </x:c>
      <x:c r="B8" s="163" t="n">
        <x:f>MAX(B6,MIN(B5,B7))</x:f>
        <x:v>0.147</x:v>
      </x:c>
      <x:c r="C8" s="163" t="n">
        <x:f>MAX(C6,MIN(C5,C7))</x:f>
        <x:v>0.147</x:v>
      </x:c>
      <x:c r="D8" s="57" t="str">
        <x:v>-</x:v>
      </x:c>
      <x:c r="E8" s="57" t="str">
        <x:v>MAX(Cmin,MIN(Craw,Cmax))</x:v>
      </x:c>
      <x:c r="F8" s="58" t="str">
        <x:v>Coeficiente aplicado al corte basal.</x:v>
      </x:c>
    </x:row>
    <x:row r="9">
      <x:c r="A9" s="56" t="str">
        <x:v>P total [tonf]</x:v>
      </x:c>
      <x:c r="B9" s="163" t="n">
        <x:f>SUM('02_Datos_ETABS'!$C$4:$C$8)</x:f>
        <x:v>5301.283144000001</x:v>
      </x:c>
      <x:c r="C9" s="163" t="n">
        <x:f>SUM('02_Datos_ETABS'!$C$4:$C$8)</x:f>
        <x:v>5301.283144000001</x:v>
      </x:c>
      <x:c r="D9" s="57" t="str">
        <x:v>tonf</x:v>
      </x:c>
      <x:c r="E9" s="57" t="str">
        <x:v>SUM(Pk)</x:v>
      </x:c>
      <x:c r="F9" s="58" t="str">
        <x:v>Suma de pesos sísmicos por piso desde ETABS.</x:v>
      </x:c>
    </x:row>
    <x:row r="10">
      <x:c r="A10" s="56" t="str">
        <x:v>I</x:v>
      </x:c>
      <x:c r="B10" s="163" t="n">
        <x:f>'01_Inputs'!$B$4</x:f>
        <x:v>1</x:v>
      </x:c>
      <x:c r="C10" s="163" t="n">
        <x:f>'01_Inputs'!$B$4</x:f>
        <x:v>1</x:v>
      </x:c>
      <x:c r="D10" s="57" t="str">
        <x:v>-</x:v>
      </x:c>
      <x:c r="E10" s="57" t="str">
        <x:v>Input</x:v>
      </x:c>
      <x:c r="F10" s="58" t="str">
        <x:v>Factor importancia.</x:v>
      </x:c>
    </x:row>
    <x:row r="11">
      <x:c r="A11" s="56" t="str">
        <x:v>Q0 [tonf]</x:v>
      </x:c>
      <x:c r="B11" s="163" t="n">
        <x:f>B8*B9*B10</x:f>
        <x:v>779.2886221680001</x:v>
      </x:c>
      <x:c r="C11" s="163" t="n">
        <x:f>C8*C9*C10</x:f>
        <x:v>779.2886221680001</x:v>
      </x:c>
      <x:c r="D11" s="57" t="str">
        <x:v>tonf</x:v>
      </x:c>
      <x:c r="E11" s="57" t="str">
        <x:v>C·I·P</x:v>
      </x:c>
      <x:c r="F11" s="58" t="str">
        <x:v>Corte basal de diseño.</x:v>
      </x:c>
    </x:row>
    <x:row r="12">
      <x:c r="A12" s="59" t="str">
        <x:v>Q0/P</x:v>
      </x:c>
      <x:c r="B12" s="164" t="n">
        <x:f>B11/B9</x:f>
        <x:v>0.147</x:v>
      </x:c>
      <x:c r="C12" s="164" t="n">
        <x:f>C11/C9</x:f>
        <x:v>0.147</x:v>
      </x:c>
      <x:c r="D12" s="60" t="str">
        <x:v>-</x:v>
      </x:c>
      <x:c r="E12" s="60" t="str">
        <x:v>Q0/P</x:v>
      </x:c>
      <x:c r="F12" s="61" t="str">
        <x:v>Chequeo equivalente a C·I.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9.140625" defaultRowHeight="15"/>
  <x:cols>
    <x:col min="1" max="1" width="13" hidden="0" customWidth="1"/>
    <x:col min="2" max="14" width="15.7109375" customWidth="1"/>
    <x:col min="21" max="21" width="55" hidden="0" customWidth="1"/>
    <x:col min="2" max="2" width="10" hidden="0" customWidth="1"/>
    <x:col min="3" max="3" width="14" hidden="0" customWidth="1"/>
    <x:col min="4" max="4" width="11" hidden="0" customWidth="1"/>
    <x:col min="5" max="5" width="11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8" hidden="0" customWidth="1"/>
    <x:col min="16" max="16" width="18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4" customHeight="1">
      <x:c r="A1" s="28" t="str">
        <x:v>04 — Distribución de fuerzas, torsión accidental, corte y momento volcante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</x:row>
    <x:row r="3">
      <x:c r="A3" s="326" t="str">
        <x:v>Piso</x:v>
      </x:c>
      <x:c r="B3" s="326" t="str">
        <x:v>Z [m]</x:v>
      </x:c>
      <x:c r="C3" s="326" t="str">
        <x:v>P_k [tonf]</x:v>
      </x:c>
      <x:c r="D3" s="326" t="str">
        <x:v>Z prev [m]</x:v>
      </x:c>
      <x:c r="E3" s="326" t="str">
        <x:v>A_k</x:v>
      </x:c>
      <x:c r="F3" s="326" t="str">
        <x:v>A_k·P_k</x:v>
      </x:c>
      <x:c r="G3" s="326" t="str">
        <x:v>F_x [tonf]</x:v>
      </x:c>
      <x:c r="H3" s="326" t="str">
        <x:v>F_y [tonf]</x:v>
      </x:c>
      <x:c r="I3" s="326" t="str">
        <x:v>e_X=0.10·bY·Z/H [m]</x:v>
      </x:c>
      <x:c r="J3" s="326" t="str">
        <x:v>e_Y=0.10·bX·Z/H [m]</x:v>
      </x:c>
      <x:c r="K3" s="326" t="str">
        <x:f t="shared" ref="K3:L7" si="0">"Mt X [tonf-m]"</x:f>
        <x:v>Mt X [tonf-m]</x:v>
      </x:c>
      <x:c r="L3" s="326" t="str">
        <x:f t="shared" si="0">"Mt Y [tonf-m]"</x:f>
        <x:v>Mt Y [tonf-m]</x:v>
      </x:c>
      <x:c r="M3" s="326" t="str">
        <x:v>Vx acum [tonf]</x:v>
      </x:c>
      <x:c r="N3" s="326" t="str">
        <x:v>Vy acum [tonf]</x:v>
      </x:c>
      <x:c r="O3" s="326" t="str">
        <x:v>Mvolc_X [tonf-m]</x:v>
      </x:c>
      <x:c r="P3" s="326" t="str">
        <x:v>Mvolc_Y [tonf-m]</x:v>
      </x:c>
      <x:c r="Q3" s="326" t="str">
        <x:v>EX Fx</x:v>
      </x:c>
      <x:c r="R3" s="326" t="str">
        <x:v>EY Fy</x:v>
      </x:c>
      <x:c r="S3" s="326" t="str">
        <x:v>TEX Mz</x:v>
      </x:c>
      <x:c r="T3" s="326" t="str">
        <x:v>TEY Mz</x:v>
      </x:c>
      <x:c r="U3" s="326" t="str">
        <x:v>Nota</x:v>
      </x:c>
    </x:row>
    <x:row r="4">
      <x:c r="A4" s="190" t="str">
        <x:f>'02_Datos_ETABS'!A4</x:f>
        <x:v>Story1</x:v>
      </x:c>
      <x:c r="B4" s="194" t="n">
        <x:f>'02_Datos_ETABS'!B4</x:f>
        <x:v>3.5</x:v>
      </x:c>
      <x:c r="C4" s="194" t="n">
        <x:f>'02_Datos_ETABS'!C4</x:f>
        <x:v>1123.825</x:v>
      </x:c>
      <x:c r="D4" s="195" t="n">
        <x:f>0</x:f>
        <x:v>0</x:v>
      </x:c>
      <x:c r="E4" s="195" t="n">
        <x:f>SQRT(1-D4/'01_Inputs'!$B$8)-SQRT(1-B4/'01_Inputs'!$B$8)</x:f>
        <x:v>0.1201173098718803</x:v>
      </x:c>
      <x:c r="F4" s="195" t="n">
        <x:f>E4*C4</x:f>
        <x:v>134.99083576676588</x:v>
      </x:c>
      <x:c r="G4" s="195" t="n">
        <x:f>F4/SUM($F$4:$F$8)*'03_Coeficiente_C'!$B$11</x:f>
        <x:v>102.88575626975627</x:v>
      </x:c>
      <x:c r="H4" s="195" t="n">
        <x:f>F4/SUM($F$4:$F$8)*'03_Coeficiente_C'!$C$11</x:f>
        <x:v>102.88575626975627</x:v>
      </x:c>
      <x:c r="I4" s="195" t="n">
        <x:f>'01_Inputs'!$B$20*'01_Inputs'!$B$10*B4/'01_Inputs'!$B$8</x:f>
        <x:v>0.7338709677419355</x:v>
      </x:c>
      <x:c r="J4" s="195" t="n">
        <x:f>'01_Inputs'!$B$20*'01_Inputs'!$B$9*B4/'01_Inputs'!$B$8</x:f>
        <x:v>0.7338709677419355</x:v>
      </x:c>
      <x:c r="K4" s="195" t="n">
        <x:f t="shared" si="0">G4*I4</x:f>
        <x:v>75.50486952054695</x:v>
      </x:c>
      <x:c r="L4" s="195" t="n">
        <x:f t="shared" si="0">H4*J4</x:f>
        <x:v>75.50486952054695</x:v>
      </x:c>
      <x:c r="M4" s="195" t="n">
        <x:f>SUM(G4:$G$8)</x:f>
        <x:v>779.2886221680001</x:v>
      </x:c>
      <x:c r="N4" s="195" t="n">
        <x:f>SUM(H4:$H$8)</x:f>
        <x:v>779.2886221680001</x:v>
      </x:c>
      <x:c r="O4" s="195" t="n">
        <x:f>SUMPRODUCT(G4:$G$8,B4:$B$8-D4)</x:f>
        <x:v>8825.55730622754</x:v>
      </x:c>
      <x:c r="P4" s="195" t="n">
        <x:f>SUMPRODUCT(H4:$H$8,B4:$B$8-D4)</x:f>
        <x:v>8825.55730622754</x:v>
      </x:c>
      <x:c r="Q4" s="195" t="n">
        <x:f>G4</x:f>
        <x:v>102.88575626975627</x:v>
      </x:c>
      <x:c r="R4" s="195" t="n">
        <x:f>H4</x:f>
        <x:v>102.88575626975627</x:v>
      </x:c>
      <x:c r="S4" s="195" t="n">
        <x:f>K4</x:f>
        <x:v>75.50486952054695</x:v>
      </x:c>
      <x:c r="T4" s="195" t="n">
        <x:f>L4</x:f>
        <x:v>75.50486952054695</x:v>
      </x:c>
      <x:c r="U4" s="58" t="str">
        <x:v>Aplicar en diafragma/centro de masa. Signos se manejan en combinaciones.</x:v>
      </x:c>
    </x:row>
    <x:row r="5">
      <x:c r="A5" s="190" t="str">
        <x:f>'02_Datos_ETABS'!A5</x:f>
        <x:v>Story2</x:v>
      </x:c>
      <x:c r="B5" s="194" t="n">
        <x:f>'02_Datos_ETABS'!B5</x:f>
        <x:v>6.5</x:v>
      </x:c>
      <x:c r="C5" s="194" t="n">
        <x:f>'02_Datos_ETABS'!C5</x:f>
        <x:v>1103.688</x:v>
      </x:c>
      <x:c r="D5" s="195" t="n">
        <x:f>B4</x:f>
        <x:v>3.5</x:v>
      </x:c>
      <x:c r="E5" s="195" t="n">
        <x:f>SQRT(1-D5/'01_Inputs'!$B$8)-SQRT(1-B5/'01_Inputs'!$B$8)</x:f>
        <x:v>0.11788192812697673</x:v>
      </x:c>
      <x:c r="F5" s="195" t="n">
        <x:f>E5*C5</x:f>
        <x:v>130.10486949060672</x:v>
      </x:c>
      <x:c r="G5" s="195" t="n">
        <x:f>F5/SUM($F$4:$F$8)*'03_Coeficiente_C'!$B$11</x:f>
        <x:v>99.16182691873196</x:v>
      </x:c>
      <x:c r="H5" s="195" t="n">
        <x:f>F5/SUM($F$4:$F$8)*'03_Coeficiente_C'!$C$11</x:f>
        <x:v>99.16182691873196</x:v>
      </x:c>
      <x:c r="I5" s="195" t="n">
        <x:f>'01_Inputs'!$B$20*'01_Inputs'!$B$10*B5/'01_Inputs'!$B$8</x:f>
        <x:v>1.3629032258064515</x:v>
      </x:c>
      <x:c r="J5" s="195" t="n">
        <x:f>'01_Inputs'!$B$20*'01_Inputs'!$B$9*B5/'01_Inputs'!$B$8</x:f>
        <x:v>1.3629032258064515</x:v>
      </x:c>
      <x:c r="K5" s="195" t="n">
        <x:f t="shared" si="0">G5*I5</x:f>
        <x:v>135.14797378440082</x:v>
      </x:c>
      <x:c r="L5" s="195" t="n">
        <x:f t="shared" si="0">H5*J5</x:f>
        <x:v>135.14797378440082</x:v>
      </x:c>
      <x:c r="M5" s="195" t="n">
        <x:f>SUM(G5:$G$8)</x:f>
        <x:v>676.4028658982438</x:v>
      </x:c>
      <x:c r="N5" s="195" t="n">
        <x:f>SUM(H5:$H$8)</x:f>
        <x:v>676.4028658982438</x:v>
      </x:c>
      <x:c r="O5" s="195" t="n">
        <x:f>SUMPRODUCT(G5:$G$8,B5:$B$8-D5)</x:f>
        <x:v>6098.0471286395405</x:v>
      </x:c>
      <x:c r="P5" s="195" t="n">
        <x:f>SUMPRODUCT(H5:$H$8,B5:$B$8-D5)</x:f>
        <x:v>6098.0471286395405</x:v>
      </x:c>
      <x:c r="Q5" s="195" t="n">
        <x:f>G5</x:f>
        <x:v>99.16182691873196</x:v>
      </x:c>
      <x:c r="R5" s="195" t="n">
        <x:f>H5</x:f>
        <x:v>99.16182691873196</x:v>
      </x:c>
      <x:c r="S5" s="195" t="n">
        <x:f>K5</x:f>
        <x:v>135.14797378440082</x:v>
      </x:c>
      <x:c r="T5" s="195" t="n">
        <x:f>L5</x:f>
        <x:v>135.14797378440082</x:v>
      </x:c>
      <x:c r="U5" s="58" t="str">
        <x:v>Aplicar en diafragma/centro de masa. Signos se manejan en combinaciones.</x:v>
      </x:c>
    </x:row>
    <x:row r="6">
      <x:c r="A6" s="190" t="str">
        <x:f>'02_Datos_ETABS'!A6</x:f>
        <x:v>Story3</x:v>
      </x:c>
      <x:c r="B6" s="194" t="n">
        <x:f>'02_Datos_ETABS'!B6</x:f>
        <x:v>9.5</x:v>
      </x:c>
      <x:c r="C6" s="194" t="n">
        <x:f>'02_Datos_ETABS'!C6</x:f>
        <x:v>1066.488</x:v>
      </x:c>
      <x:c r="D6" s="195" t="n">
        <x:f>B5</x:f>
        <x:v>6.5</x:v>
      </x:c>
      <x:c r="E6" s="195" t="n">
        <x:f>SQRT(1-D6/'01_Inputs'!$B$8)-SQRT(1-B6/'01_Inputs'!$B$8)</x:f>
        <x:v>0.13982974516288782</x:v>
      </x:c>
      <x:c r="F6" s="195" t="n">
        <x:f>E6*C6</x:f>
        <x:v>149.12674525927793</x:v>
      </x:c>
      <x:c r="G6" s="195" t="n">
        <x:f>F6/SUM($F$4:$F$8)*'03_Coeficiente_C'!$B$11</x:f>
        <x:v>113.65970051891094</x:v>
      </x:c>
      <x:c r="H6" s="195" t="n">
        <x:f>F6/SUM($F$4:$F$8)*'03_Coeficiente_C'!$C$11</x:f>
        <x:v>113.65970051891094</x:v>
      </x:c>
      <x:c r="I6" s="195" t="n">
        <x:f>'01_Inputs'!$B$20*'01_Inputs'!$B$10*B6/'01_Inputs'!$B$8</x:f>
        <x:v>1.9919354838709677</x:v>
      </x:c>
      <x:c r="J6" s="195" t="n">
        <x:f>'01_Inputs'!$B$20*'01_Inputs'!$B$9*B6/'01_Inputs'!$B$8</x:f>
        <x:v>1.9919354838709677</x:v>
      </x:c>
      <x:c r="K6" s="195" t="n">
        <x:f t="shared" si="0">G6*I6</x:f>
        <x:v>226.40279054976614</x:v>
      </x:c>
      <x:c r="L6" s="195" t="n">
        <x:f t="shared" si="0">H6*J6</x:f>
        <x:v>226.40279054976614</x:v>
      </x:c>
      <x:c r="M6" s="195" t="n">
        <x:f>SUM(G6:$G$8)</x:f>
        <x:v>577.2410389795118</x:v>
      </x:c>
      <x:c r="N6" s="195" t="n">
        <x:f>SUM(H6:$H$8)</x:f>
        <x:v>577.2410389795118</x:v>
      </x:c>
      <x:c r="O6" s="195" t="n">
        <x:f>SUMPRODUCT(G6:$G$8,B6:$B$8-D6)</x:f>
        <x:v>4068.8385309448086</x:v>
      </x:c>
      <x:c r="P6" s="195" t="n">
        <x:f>SUMPRODUCT(H6:$H$8,B6:$B$8-D6)</x:f>
        <x:v>4068.8385309448086</x:v>
      </x:c>
      <x:c r="Q6" s="195" t="n">
        <x:f>G6</x:f>
        <x:v>113.65970051891094</x:v>
      </x:c>
      <x:c r="R6" s="195" t="n">
        <x:f>H6</x:f>
        <x:v>113.65970051891094</x:v>
      </x:c>
      <x:c r="S6" s="195" t="n">
        <x:f>K6</x:f>
        <x:v>226.40279054976614</x:v>
      </x:c>
      <x:c r="T6" s="195" t="n">
        <x:f>L6</x:f>
        <x:v>226.40279054976614</x:v>
      </x:c>
      <x:c r="U6" s="58" t="str">
        <x:v>Aplicar en diafragma/centro de masa. Signos se manejan en combinaciones.</x:v>
      </x:c>
    </x:row>
    <x:row r="7">
      <x:c r="A7" s="190" t="str">
        <x:f>'02_Datos_ETABS'!A7</x:f>
        <x:v>Story4</x:v>
      </x:c>
      <x:c r="B7" s="194" t="n">
        <x:f>'02_Datos_ETABS'!B7</x:f>
        <x:v>12.5</x:v>
      </x:c>
      <x:c r="C7" s="194" t="n">
        <x:f>'02_Datos_ETABS'!C7</x:f>
        <x:v>1066.488</x:v>
      </x:c>
      <x:c r="D7" s="195" t="n">
        <x:f>B6</x:f>
        <x:v>9.5</x:v>
      </x:c>
      <x:c r="E7" s="195" t="n">
        <x:f>SQRT(1-D7/'01_Inputs'!$B$8)-SQRT(1-B7/'01_Inputs'!$B$8)</x:f>
        <x:v>0.18222967177419525</x:v>
      </x:c>
      <x:c r="F7" s="195" t="n">
        <x:f>E7*C7</x:f>
        <x:v>194.34575819111794</x:v>
      </x:c>
      <x:c r="G7" s="195" t="n">
        <x:f>F7/SUM($F$4:$F$8)*'03_Coeficiente_C'!$B$11</x:f>
        <x:v>148.12420558577745</x:v>
      </x:c>
      <x:c r="H7" s="195" t="n">
        <x:f>F7/SUM($F$4:$F$8)*'03_Coeficiente_C'!$C$11</x:f>
        <x:v>148.12420558577745</x:v>
      </x:c>
      <x:c r="I7" s="195" t="n">
        <x:f>'01_Inputs'!$B$20*'01_Inputs'!$B$10*B7/'01_Inputs'!$B$8</x:f>
        <x:v>2.620967741935484</x:v>
      </x:c>
      <x:c r="J7" s="195" t="n">
        <x:f>'01_Inputs'!$B$20*'01_Inputs'!$B$9*B7/'01_Inputs'!$B$8</x:f>
        <x:v>2.620967741935484</x:v>
      </x:c>
      <x:c r="K7" s="195" t="n">
        <x:f t="shared" si="0">G7*I7</x:f>
        <x:v>388.2287646401425</x:v>
      </x:c>
      <x:c r="L7" s="195" t="n">
        <x:f t="shared" si="0">H7*J7</x:f>
        <x:v>388.2287646401425</x:v>
      </x:c>
      <x:c r="M7" s="195" t="n">
        <x:f>SUM(G7:$G$8)</x:f>
        <x:v>463.58133846060093</x:v>
      </x:c>
      <x:c r="N7" s="195" t="n">
        <x:f>SUM(H7:$H$8)</x:f>
        <x:v>463.58133846060093</x:v>
      </x:c>
      <x:c r="O7" s="195" t="n">
        <x:f>SUMPRODUCT(G7:$G$8,B7:$B$8-D7)</x:f>
        <x:v>2337.115414006273</x:v>
      </x:c>
      <x:c r="P7" s="195" t="n">
        <x:f>SUMPRODUCT(H7:$H$8,B7:$B$8-D7)</x:f>
        <x:v>2337.115414006273</x:v>
      </x:c>
      <x:c r="Q7" s="195" t="n">
        <x:f>G7</x:f>
        <x:v>148.12420558577745</x:v>
      </x:c>
      <x:c r="R7" s="195" t="n">
        <x:f>H7</x:f>
        <x:v>148.12420558577745</x:v>
      </x:c>
      <x:c r="S7" s="195" t="n">
        <x:f>K7</x:f>
        <x:v>388.2287646401425</x:v>
      </x:c>
      <x:c r="T7" s="195" t="n">
        <x:f>L7</x:f>
        <x:v>388.2287646401425</x:v>
      </x:c>
      <x:c r="U7" s="58" t="str">
        <x:v>Aplicar en diafragma/centro de masa. Signos se manejan en combinaciones.</x:v>
      </x:c>
    </x:row>
    <x:row r="8">
      <x:c r="A8" s="190" t="str">
        <x:f>'02_Datos_ETABS'!A8</x:f>
        <x:v>Story5</x:v>
      </x:c>
      <x:c r="B8" s="194" t="n">
        <x:f>'02_Datos_ETABS'!B8</x:f>
        <x:v>15.5</x:v>
      </x:c>
      <x:c r="C8" s="194" t="n">
        <x:f>'02_Datos_ETABS'!C8</x:f>
        <x:v>940.794144</x:v>
      </x:c>
      <x:c r="D8" s="195" t="n">
        <x:f>B7</x:f>
        <x:v>12.5</x:v>
      </x:c>
      <x:c r="E8" s="195" t="n">
        <x:f>SQRT(1-D8/'01_Inputs'!$B$8)-SQRT(1-B8/'01_Inputs'!$B$8)</x:f>
        <x:v>0.4399413450640599</x:v>
      </x:c>
      <x:c r="F8" s="195" t="n">
        <x:f>E8*C8</x:f>
        <x:v>413.8942411397509</x:v>
      </x:c>
      <x:c r="G8" s="195" t="n">
        <x:f>F8/SUM($F$4:$F$8)*'03_Coeficiente_C'!$B$11</x:f>
        <x:v>315.45713287482346</x:v>
      </x:c>
      <x:c r="H8" s="195" t="n">
        <x:f>F8/SUM($F$4:$F$8)*'03_Coeficiente_C'!$C$11</x:f>
        <x:v>315.45713287482346</x:v>
      </x:c>
      <x:c r="I8" s="195" t="n">
        <x:f>'01_Inputs'!$B$20*'01_Inputs'!$B$10*B8/'01_Inputs'!$B$8</x:f>
        <x:v>3.25</x:v>
      </x:c>
      <x:c r="J8" s="195" t="n">
        <x:f>'01_Inputs'!$B$20*'01_Inputs'!$B$9*B8/'01_Inputs'!$B$8</x:f>
        <x:v>3.25</x:v>
      </x:c>
      <x:c r="K8" s="195" t="n">
        <x:f>G8*I8</x:f>
        <x:v>1025.2356818431763</x:v>
      </x:c>
      <x:c r="L8" s="195" t="n">
        <x:f>H8*J8</x:f>
        <x:v>1025.2356818431763</x:v>
      </x:c>
      <x:c r="M8" s="195" t="n">
        <x:f>SUM(G8:$G$8)</x:f>
        <x:v>315.45713287482346</x:v>
      </x:c>
      <x:c r="N8" s="195" t="n">
        <x:f>SUM(H8:$H$8)</x:f>
        <x:v>315.45713287482346</x:v>
      </x:c>
      <x:c r="O8" s="195" t="n">
        <x:f>SUMPRODUCT(G8:$G$8,B8:$B$8-D8)</x:f>
        <x:v>946.3713986244704</x:v>
      </x:c>
      <x:c r="P8" s="195" t="n">
        <x:f>SUMPRODUCT(H8:$H$8,B8:$B$8-D8)</x:f>
        <x:v>946.3713986244704</x:v>
      </x:c>
      <x:c r="Q8" s="195" t="n">
        <x:f>G8</x:f>
        <x:v>315.45713287482346</x:v>
      </x:c>
      <x:c r="R8" s="195" t="n">
        <x:f>H8</x:f>
        <x:v>315.45713287482346</x:v>
      </x:c>
      <x:c r="S8" s="195" t="n">
        <x:f>K8</x:f>
        <x:v>1025.2356818431763</x:v>
      </x:c>
      <x:c r="T8" s="195" t="n">
        <x:f>L8</x:f>
        <x:v>1025.2356818431763</x:v>
      </x:c>
      <x:c r="U8" s="58" t="str">
        <x:v>Aplicar en diafragma/centro de masa. Signos se manejan en combinaciones.</x:v>
      </x:c>
    </x:row>
    <x:row r="9" ht="30">
      <x:c r="A9" s="56"/>
      <x:c r="B9" s="196"/>
      <x:c r="C9" s="196"/>
      <x:c r="D9" s="196"/>
      <x:c r="E9" s="196"/>
      <x:c r="F9" s="196"/>
      <x:c r="G9" s="196"/>
      <x:c r="H9" s="196"/>
      <x:c r="I9" s="196"/>
      <x:c r="J9" s="196"/>
      <x:c r="K9" s="196"/>
      <x:c r="L9" s="196"/>
      <x:c r="M9" s="196"/>
      <x:c r="N9" s="196"/>
      <x:c r="O9" s="196"/>
      <x:c r="P9" s="196"/>
      <x:c r="Q9" s="196"/>
      <x:c r="R9" s="196"/>
      <x:c r="S9" s="196"/>
      <x:c r="T9" s="196"/>
      <x:c r="U9" s="58"/>
    </x:row>
    <x:row r="10">
      <x:c r="A10" s="181" t="str">
        <x:v>Chequeo</x:v>
      </x:c>
      <x:c r="B10" s="197"/>
      <x:c r="C10" s="197"/>
      <x:c r="D10" s="197"/>
      <x:c r="E10" s="197"/>
      <x:c r="F10" s="197"/>
      <x:c r="G10" s="197"/>
      <x:c r="H10" s="197"/>
      <x:c r="I10" s="197"/>
      <x:c r="J10" s="197"/>
      <x:c r="K10" s="197"/>
      <x:c r="L10" s="197"/>
      <x:c r="M10" s="197"/>
      <x:c r="N10" s="197"/>
      <x:c r="O10" s="197"/>
      <x:c r="P10" s="197"/>
      <x:c r="Q10" s="197"/>
      <x:c r="R10" s="197"/>
      <x:c r="S10" s="197"/>
      <x:c r="T10" s="197"/>
      <x:c r="U10" s="183"/>
    </x:row>
    <x:row r="11">
      <x:c r="A11" s="56" t="str">
        <x:v>ΣA_k</x:v>
      </x:c>
      <x:c r="B11" s="196" t="n">
        <x:f>SUM(E4:E8)</x:f>
        <x:v>1</x:v>
      </x:c>
      <x:c r="C11" s="196"/>
      <x:c r="D11" s="196"/>
      <x:c r="E11" s="196"/>
      <x:c r="F11" s="196"/>
      <x:c r="G11" s="196"/>
      <x:c r="H11" s="196"/>
      <x:c r="I11" s="196"/>
      <x:c r="J11" s="196"/>
      <x:c r="K11" s="196"/>
      <x:c r="L11" s="196"/>
      <x:c r="M11" s="196"/>
      <x:c r="N11" s="196"/>
      <x:c r="O11" s="196"/>
      <x:c r="P11" s="196"/>
      <x:c r="Q11" s="196"/>
      <x:c r="R11" s="196"/>
      <x:c r="S11" s="196"/>
      <x:c r="T11" s="196"/>
      <x:c r="U11" s="58" t="str">
        <x:v>Debe ser 1,000</x:v>
      </x:c>
    </x:row>
    <x:row r="12">
      <x:c r="A12" s="56" t="str">
        <x:v>ΣF_x - Q0x</x:v>
      </x:c>
      <x:c r="B12" s="196" t="n">
        <x:f>SUM(G4:G8)-'03_Coeficiente_C'!$B$11</x:f>
        <x:v>0</x:v>
      </x:c>
      <x:c r="C12" s="196"/>
      <x:c r="D12" s="196"/>
      <x:c r="E12" s="196"/>
      <x:c r="F12" s="196"/>
      <x:c r="G12" s="196"/>
      <x:c r="H12" s="196"/>
      <x:c r="I12" s="196"/>
      <x:c r="J12" s="196"/>
      <x:c r="K12" s="196"/>
      <x:c r="L12" s="196"/>
      <x:c r="M12" s="196"/>
      <x:c r="N12" s="196"/>
      <x:c r="O12" s="196"/>
      <x:c r="P12" s="196"/>
      <x:c r="Q12" s="196"/>
      <x:c r="R12" s="196"/>
      <x:c r="S12" s="196"/>
      <x:c r="T12" s="196"/>
      <x:c r="U12" s="58" t="str">
        <x:v>Debe ser 0</x:v>
      </x:c>
    </x:row>
    <x:row r="13">
      <x:c r="A13" s="56" t="str">
        <x:v>ΣF_y - Q0y</x:v>
      </x:c>
      <x:c r="B13" s="196" t="n">
        <x:f>SUM(H4:H8)-'03_Coeficiente_C'!$C$11</x:f>
        <x:v>0</x:v>
      </x:c>
      <x:c r="C13" s="196"/>
      <x:c r="D13" s="196"/>
      <x:c r="E13" s="196"/>
      <x:c r="F13" s="196"/>
      <x:c r="G13" s="196"/>
      <x:c r="H13" s="196"/>
      <x:c r="I13" s="196"/>
      <x:c r="J13" s="196"/>
      <x:c r="K13" s="196"/>
      <x:c r="L13" s="196"/>
      <x:c r="M13" s="196"/>
      <x:c r="N13" s="196"/>
      <x:c r="O13" s="196"/>
      <x:c r="P13" s="196"/>
      <x:c r="Q13" s="196"/>
      <x:c r="R13" s="196"/>
      <x:c r="S13" s="196"/>
      <x:c r="T13" s="196"/>
      <x:c r="U13" s="58" t="str">
        <x:v>Debe ser 0</x:v>
      </x:c>
    </x:row>
    <x:row r="14">
      <x:c r="A14" s="56" t="str">
        <x:v>Mbase X</x:v>
      </x:c>
      <x:c r="B14" s="196" t="n">
        <x:f>O4</x:f>
        <x:v>8825.55730622754</x:v>
      </x:c>
      <x:c r="C14" s="196"/>
      <x:c r="D14" s="196"/>
      <x:c r="E14" s="196"/>
      <x:c r="F14" s="196"/>
      <x:c r="G14" s="196"/>
      <x:c r="H14" s="196"/>
      <x:c r="I14" s="196"/>
      <x:c r="J14" s="196"/>
      <x:c r="K14" s="196"/>
      <x:c r="L14" s="196"/>
      <x:c r="M14" s="196"/>
      <x:c r="N14" s="196"/>
      <x:c r="O14" s="196"/>
      <x:c r="P14" s="196"/>
      <x:c r="Q14" s="196"/>
      <x:c r="R14" s="196"/>
      <x:c r="S14" s="196"/>
      <x:c r="T14" s="196"/>
      <x:c r="U14" s="58" t="str">
        <x:v>Momento volcante en base</x:v>
      </x:c>
    </x:row>
    <x:row r="15">
      <x:c r="A15" s="59" t="str">
        <x:v>Mbase Y</x:v>
      </x:c>
      <x:c r="B15" s="198" t="n">
        <x:f>P4</x:f>
        <x:v>8825.55730622754</x:v>
      </x:c>
      <x:c r="C15" s="198"/>
      <x:c r="D15" s="198"/>
      <x:c r="E15" s="198"/>
      <x:c r="F15" s="198"/>
      <x:c r="G15" s="198"/>
      <x:c r="H15" s="198"/>
      <x:c r="I15" s="198"/>
      <x:c r="J15" s="198"/>
      <x:c r="K15" s="198"/>
      <x:c r="L15" s="198"/>
      <x:c r="M15" s="198"/>
      <x:c r="N15" s="198"/>
      <x:c r="O15" s="198"/>
      <x:c r="P15" s="198"/>
      <x:c r="Q15" s="198"/>
      <x:c r="R15" s="198"/>
      <x:c r="S15" s="198"/>
      <x:c r="T15" s="198"/>
      <x:c r="U15" s="61" t="str">
        <x:v>Momento volcante en base</x:v>
      </x:c>
    </x:row>
  </x:sheetData>
  <x:mergeCells>
    <x:mergeCell ref="A1:U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9.140625" defaultRowHeight="15"/>
  <x:cols>
    <x:col min="1" max="6" width="19.7109375" customWidth="1"/>
    <x:col min="1" max="1" width="12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2" hidden="0" customWidth="1"/>
    <x:col min="13" max="13" width="12" hidden="0" customWidth="1"/>
    <x:col min="14" max="14" width="14" hidden="0" customWidth="1"/>
    <x:col min="15" max="15" width="22" hidden="0" customWidth="1"/>
    <x:col min="16" max="16" width="14" hidden="0" customWidth="1"/>
    <x:col min="17" max="17" width="45" hidden="0" customWidth="1"/>
  </x:cols>
  <x:sheetData>
    <x:row r="1" ht="24" customHeight="1">
      <x:c r="A1" s="28" t="str">
        <x:v>05 — Cargas listas para ingresar en ETABS</x:v>
      </x:c>
      <x:c r="B1"/>
      <x:c r="C1"/>
      <x:c r="D1"/>
      <x:c r="E1"/>
      <x:c r="F1"/>
    </x:row>
    <x:row r="2" ht="75">
      <x:c r="A2"/>
      <x:c r="B2"/>
      <x:c r="C2"/>
      <x:c r="D2"/>
      <x:c r="E2"/>
      <x:c r="F2"/>
    </x:row>
    <x:row r="3" ht="75">
      <x:c r="A3" s="178" t="str">
        <x:v>Piso</x:v>
      </x:c>
      <x:c r="B3" s="179" t="str">
        <x:v>Diafragma/Story</x:v>
      </x:c>
      <x:c r="C3" s="179" t="str">
        <x:v>EX Fx</x:v>
      </x:c>
      <x:c r="D3" s="179" t="str">
        <x:v>EX Fy</x:v>
      </x:c>
      <x:c r="E3" s="179" t="str">
        <x:v>EX Mz</x:v>
      </x:c>
      <x:c r="F3" s="179" t="str">
        <x:v>EY Fx</x:v>
      </x:c>
      <x:c r="G3" s="179" t="str">
        <x:v>EY Fy</x:v>
      </x:c>
      <x:c r="H3" s="179" t="str">
        <x:v>EY Mz</x:v>
      </x:c>
      <x:c r="I3" s="179" t="str">
        <x:v>TEX Fx</x:v>
      </x:c>
      <x:c r="J3" s="179" t="str">
        <x:v>TEX Fy</x:v>
      </x:c>
      <x:c r="K3" s="179" t="str">
        <x:v>TEX Mz</x:v>
      </x:c>
      <x:c r="L3" s="179" t="str">
        <x:v>TEY Fx</x:v>
      </x:c>
      <x:c r="M3" s="179" t="str">
        <x:v>TEY Fy</x:v>
      </x:c>
      <x:c r="N3" s="179" t="str">
        <x:v>TEY Mz</x:v>
      </x:c>
      <x:c r="O3" s="179" t="str">
        <x:v>Aplicación</x:v>
      </x:c>
      <x:c r="P3" s="179" t="str">
        <x:v>Signo</x:v>
      </x:c>
      <x:c r="Q3" s="180" t="str">
        <x:v>Nota</x:v>
      </x:c>
    </x:row>
    <x:row r="4" ht="75">
      <x:c r="A4" s="56" t="str">
        <x:f>'04_Distribución'!A4</x:f>
        <x:v>Story1</x:v>
      </x:c>
      <x:c r="B4" s="57" t="str">
        <x:f>A4</x:f>
        <x:v>Story1</x:v>
      </x:c>
      <x:c r="C4" s="195" t="n">
        <x:f>'04_Distribución'!G4</x:f>
        <x:v>102.88575626975627</x:v>
      </x:c>
      <x:c r="D4" s="195" t="n">
        <x:f>0</x:f>
        <x:v>0</x:v>
      </x:c>
      <x:c r="E4" s="195" t="n">
        <x:f>0</x:f>
        <x:v>0</x:v>
      </x:c>
      <x:c r="F4" s="195" t="n">
        <x:f>0</x:f>
        <x:v>0</x:v>
      </x:c>
      <x:c r="G4" s="195" t="n">
        <x:f>'04_Distribución'!H4</x:f>
        <x:v>102.88575626975627</x:v>
      </x:c>
      <x:c r="H4" s="195" t="n">
        <x:f>0</x:f>
        <x:v>0</x:v>
      </x:c>
      <x:c r="I4" s="195" t="n">
        <x:f>0</x:f>
        <x:v>0</x:v>
      </x:c>
      <x:c r="J4" s="195" t="n">
        <x:f>0</x:f>
        <x:v>0</x:v>
      </x:c>
      <x:c r="K4" s="195" t="n">
        <x:f>'04_Distribución'!K4</x:f>
        <x:v>75.50486952054695</x:v>
      </x:c>
      <x:c r="L4" s="195" t="n">
        <x:f>0</x:f>
        <x:v>0</x:v>
      </x:c>
      <x:c r="M4" s="195" t="n">
        <x:f>0</x:f>
        <x:v>0</x:v>
      </x:c>
      <x:c r="N4" s="195" t="n">
        <x:f>'04_Distribución'!L4</x:f>
        <x:v>75.50486952054695</x:v>
      </x:c>
      <x:c r="O4" s="57" t="str">
        <x:v>CM del diafragma</x:v>
      </x:c>
      <x:c r="P4" s="57" t="str">
        <x:v>± en combos</x:v>
      </x:c>
      <x:c r="Q4" s="58" t="str">
        <x:v>EX/EY son fuerzas; TEX/TEY son momentos Mz.</x:v>
      </x:c>
    </x:row>
    <x:row r="5" ht="75">
      <x:c r="A5" s="56" t="str">
        <x:f>'04_Distribución'!A5</x:f>
        <x:v>Story2</x:v>
      </x:c>
      <x:c r="B5" s="57" t="str">
        <x:f>A5</x:f>
        <x:v>Story2</x:v>
      </x:c>
      <x:c r="C5" s="195" t="n">
        <x:f>'04_Distribución'!G5</x:f>
        <x:v>99.16182691873196</x:v>
      </x:c>
      <x:c r="D5" s="195" t="n">
        <x:f>0</x:f>
        <x:v>0</x:v>
      </x:c>
      <x:c r="E5" s="195" t="n">
        <x:f>0</x:f>
        <x:v>0</x:v>
      </x:c>
      <x:c r="F5" s="195" t="n">
        <x:f>0</x:f>
        <x:v>0</x:v>
      </x:c>
      <x:c r="G5" s="195" t="n">
        <x:f>'04_Distribución'!H5</x:f>
        <x:v>99.16182691873196</x:v>
      </x:c>
      <x:c r="H5" s="195" t="n">
        <x:f>0</x:f>
        <x:v>0</x:v>
      </x:c>
      <x:c r="I5" s="195" t="n">
        <x:f>0</x:f>
        <x:v>0</x:v>
      </x:c>
      <x:c r="J5" s="195" t="n">
        <x:f>0</x:f>
        <x:v>0</x:v>
      </x:c>
      <x:c r="K5" s="195" t="n">
        <x:f>'04_Distribución'!K5</x:f>
        <x:v>135.14797378440082</x:v>
      </x:c>
      <x:c r="L5" s="195" t="n">
        <x:f>0</x:f>
        <x:v>0</x:v>
      </x:c>
      <x:c r="M5" s="195" t="n">
        <x:f>0</x:f>
        <x:v>0</x:v>
      </x:c>
      <x:c r="N5" s="195" t="n">
        <x:f>'04_Distribución'!L5</x:f>
        <x:v>135.14797378440082</x:v>
      </x:c>
      <x:c r="O5" s="57" t="str">
        <x:v>CM del diafragma</x:v>
      </x:c>
      <x:c r="P5" s="57" t="str">
        <x:v>± en combos</x:v>
      </x:c>
      <x:c r="Q5" s="58" t="str">
        <x:v>EX/EY son fuerzas; TEX/TEY son momentos Mz.</x:v>
      </x:c>
    </x:row>
    <x:row r="6" ht="75">
      <x:c r="A6" s="56" t="str">
        <x:f>'04_Distribución'!A6</x:f>
        <x:v>Story3</x:v>
      </x:c>
      <x:c r="B6" s="57" t="str">
        <x:f>A6</x:f>
        <x:v>Story3</x:v>
      </x:c>
      <x:c r="C6" s="195" t="n">
        <x:f>'04_Distribución'!G6</x:f>
        <x:v>113.65970051891094</x:v>
      </x:c>
      <x:c r="D6" s="195" t="n">
        <x:f>0</x:f>
        <x:v>0</x:v>
      </x:c>
      <x:c r="E6" s="195" t="n">
        <x:f>0</x:f>
        <x:v>0</x:v>
      </x:c>
      <x:c r="F6" s="195" t="n">
        <x:f>0</x:f>
        <x:v>0</x:v>
      </x:c>
      <x:c r="G6" s="195" t="n">
        <x:f>'04_Distribución'!H6</x:f>
        <x:v>113.65970051891094</x:v>
      </x:c>
      <x:c r="H6" s="195" t="n">
        <x:f>0</x:f>
        <x:v>0</x:v>
      </x:c>
      <x:c r="I6" s="195" t="n">
        <x:f>0</x:f>
        <x:v>0</x:v>
      </x:c>
      <x:c r="J6" s="195" t="n">
        <x:f>0</x:f>
        <x:v>0</x:v>
      </x:c>
      <x:c r="K6" s="195" t="n">
        <x:f>'04_Distribución'!K6</x:f>
        <x:v>226.40279054976614</x:v>
      </x:c>
      <x:c r="L6" s="195" t="n">
        <x:f>0</x:f>
        <x:v>0</x:v>
      </x:c>
      <x:c r="M6" s="195" t="n">
        <x:f>0</x:f>
        <x:v>0</x:v>
      </x:c>
      <x:c r="N6" s="195" t="n">
        <x:f>'04_Distribución'!L6</x:f>
        <x:v>226.40279054976614</x:v>
      </x:c>
      <x:c r="O6" s="57" t="str">
        <x:v>CM del diafragma</x:v>
      </x:c>
      <x:c r="P6" s="57" t="str">
        <x:v>± en combos</x:v>
      </x:c>
      <x:c r="Q6" s="58" t="str">
        <x:v>EX/EY son fuerzas; TEX/TEY son momentos Mz.</x:v>
      </x:c>
    </x:row>
    <x:row r="7">
      <x:c r="A7" s="56" t="str">
        <x:f>'04_Distribución'!A7</x:f>
        <x:v>Story4</x:v>
      </x:c>
      <x:c r="B7" s="57" t="str">
        <x:f>A7</x:f>
        <x:v>Story4</x:v>
      </x:c>
      <x:c r="C7" s="195" t="n">
        <x:f>'04_Distribución'!G7</x:f>
        <x:v>148.12420558577745</x:v>
      </x:c>
      <x:c r="D7" s="195" t="n">
        <x:f>0</x:f>
        <x:v>0</x:v>
      </x:c>
      <x:c r="E7" s="195" t="n">
        <x:f>0</x:f>
        <x:v>0</x:v>
      </x:c>
      <x:c r="F7" s="195" t="n">
        <x:f>0</x:f>
        <x:v>0</x:v>
      </x:c>
      <x:c r="G7" s="195" t="n">
        <x:f>'04_Distribución'!H7</x:f>
        <x:v>148.12420558577745</x:v>
      </x:c>
      <x:c r="H7" s="195" t="n">
        <x:f>0</x:f>
        <x:v>0</x:v>
      </x:c>
      <x:c r="I7" s="195" t="n">
        <x:f>0</x:f>
        <x:v>0</x:v>
      </x:c>
      <x:c r="J7" s="195" t="n">
        <x:f>0</x:f>
        <x:v>0</x:v>
      </x:c>
      <x:c r="K7" s="195" t="n">
        <x:f>'04_Distribución'!K7</x:f>
        <x:v>388.2287646401425</x:v>
      </x:c>
      <x:c r="L7" s="195" t="n">
        <x:f>0</x:f>
        <x:v>0</x:v>
      </x:c>
      <x:c r="M7" s="195" t="n">
        <x:f>0</x:f>
        <x:v>0</x:v>
      </x:c>
      <x:c r="N7" s="195" t="n">
        <x:f>'04_Distribución'!L7</x:f>
        <x:v>388.2287646401425</x:v>
      </x:c>
      <x:c r="O7" s="57" t="str">
        <x:v>CM del diafragma</x:v>
      </x:c>
      <x:c r="P7" s="57" t="str">
        <x:v>± en combos</x:v>
      </x:c>
      <x:c r="Q7" s="58" t="str">
        <x:v>EX/EY son fuerzas; TEX/TEY son momentos Mz.</x:v>
      </x:c>
    </x:row>
    <x:row r="8">
      <x:c r="A8" s="56" t="str">
        <x:f>'04_Distribución'!A8</x:f>
        <x:v>Story5</x:v>
      </x:c>
      <x:c r="B8" s="57" t="str">
        <x:f>A8</x:f>
        <x:v>Story5</x:v>
      </x:c>
      <x:c r="C8" s="195" t="n">
        <x:f>'04_Distribución'!G8</x:f>
        <x:v>315.45713287482346</x:v>
      </x:c>
      <x:c r="D8" s="195" t="n">
        <x:f>0</x:f>
        <x:v>0</x:v>
      </x:c>
      <x:c r="E8" s="195" t="n">
        <x:f>0</x:f>
        <x:v>0</x:v>
      </x:c>
      <x:c r="F8" s="195" t="n">
        <x:f>0</x:f>
        <x:v>0</x:v>
      </x:c>
      <x:c r="G8" s="195" t="n">
        <x:f>'04_Distribución'!H8</x:f>
        <x:v>315.45713287482346</x:v>
      </x:c>
      <x:c r="H8" s="195" t="n">
        <x:f>0</x:f>
        <x:v>0</x:v>
      </x:c>
      <x:c r="I8" s="195" t="n">
        <x:f>0</x:f>
        <x:v>0</x:v>
      </x:c>
      <x:c r="J8" s="195" t="n">
        <x:f>0</x:f>
        <x:v>0</x:v>
      </x:c>
      <x:c r="K8" s="195" t="n">
        <x:f>'04_Distribución'!K8</x:f>
        <x:v>1025.2356818431763</x:v>
      </x:c>
      <x:c r="L8" s="195" t="n">
        <x:f>0</x:f>
        <x:v>0</x:v>
      </x:c>
      <x:c r="M8" s="195" t="n">
        <x:f>0</x:f>
        <x:v>0</x:v>
      </x:c>
      <x:c r="N8" s="195" t="n">
        <x:f>'04_Distribución'!L8</x:f>
        <x:v>1025.2356818431763</x:v>
      </x:c>
      <x:c r="O8" s="57" t="str">
        <x:v>CM del diafragma</x:v>
      </x:c>
      <x:c r="P8" s="57" t="str">
        <x:v>± en combos</x:v>
      </x:c>
      <x:c r="Q8" s="58" t="str">
        <x:v>EX/EY son fuerzas; TEX/TEY son momentos Mz.</x:v>
      </x:c>
    </x:row>
    <x:row r="9">
      <x:c r="A9" s="56"/>
      <x:c r="B9" s="57"/>
      <x:c r="C9" s="57"/>
      <x:c r="D9" s="57"/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8"/>
    </x:row>
    <x:row r="10">
      <x:c r="A10" s="56"/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8"/>
    </x:row>
    <x:row r="11">
      <x:c r="A11" s="204" t="str">
        <x:v>Patrón</x:v>
      </x:c>
      <x:c r="B11" s="205" t="str">
        <x:v>Qué ingresar en ETABS</x:v>
      </x:c>
      <x:c r="C11" s="205" t="str">
        <x:v>Fx</x:v>
      </x:c>
      <x:c r="D11" s="205" t="str">
        <x:v>Fy</x:v>
      </x:c>
      <x:c r="E11" s="205" t="str">
        <x:v>Mz</x:v>
      </x:c>
      <x:c r="F11" s="205" t="str">
        <x:v>Centro de aplicación</x:v>
      </x:c>
      <x:c r="G11" s="205" t="str">
        <x:v>Comentario</x:v>
      </x:c>
      <x:c r="H11" s="57"/>
      <x:c r="I11" s="57"/>
      <x:c r="J11" s="57"/>
      <x:c r="K11" s="57"/>
      <x:c r="L11" s="57"/>
      <x:c r="M11" s="57"/>
      <x:c r="N11" s="57"/>
      <x:c r="O11" s="57"/>
      <x:c r="P11" s="57"/>
      <x:c r="Q11" s="58"/>
    </x:row>
    <x:row r="12">
      <x:c r="A12" s="56" t="str">
        <x:v>EX</x:v>
      </x:c>
      <x:c r="B12" s="57" t="str">
        <x:v>Modify Lateral Load / user loads</x:v>
      </x:c>
      <x:c r="C12" s="57" t="str">
        <x:v>F_x por piso</x:v>
      </x:c>
      <x:c r="D12" s="57" t="str">
        <x:v>0</x:v>
      </x:c>
      <x:c r="E12" s="57" t="str">
        <x:v>0</x:v>
      </x:c>
      <x:c r="F12" s="57" t="str">
        <x:v>Centro de masa/diafragma</x:v>
      </x:c>
      <x:c r="G12" s="57" t="str">
        <x:v>No excéntrica.</x:v>
      </x:c>
      <x:c r="H12" s="57"/>
      <x:c r="I12" s="57"/>
      <x:c r="J12" s="57"/>
      <x:c r="K12" s="57"/>
      <x:c r="L12" s="57"/>
      <x:c r="M12" s="57"/>
      <x:c r="N12" s="57"/>
      <x:c r="O12" s="57"/>
      <x:c r="P12" s="57"/>
      <x:c r="Q12" s="58"/>
    </x:row>
    <x:row r="13">
      <x:c r="A13" s="56" t="str">
        <x:v>EY</x:v>
      </x:c>
      <x:c r="B13" s="57" t="str">
        <x:v>Modify Lateral Load / user loads</x:v>
      </x:c>
      <x:c r="C13" s="57" t="str">
        <x:v>0</x:v>
      </x:c>
      <x:c r="D13" s="57" t="str">
        <x:v>F_y por piso</x:v>
      </x:c>
      <x:c r="E13" s="57" t="str">
        <x:v>0</x:v>
      </x:c>
      <x:c r="F13" s="57" t="str">
        <x:v>Centro de masa/diafragma</x:v>
      </x:c>
      <x:c r="G13" s="57" t="str">
        <x:v>No excéntrica.</x:v>
      </x:c>
      <x:c r="H13" s="57"/>
      <x:c r="I13" s="57"/>
      <x:c r="J13" s="57"/>
      <x:c r="K13" s="57"/>
      <x:c r="L13" s="57"/>
      <x:c r="M13" s="57"/>
      <x:c r="N13" s="57"/>
      <x:c r="O13" s="57"/>
      <x:c r="P13" s="57"/>
      <x:c r="Q13" s="58"/>
    </x:row>
    <x:row r="14">
      <x:c r="A14" s="56" t="str">
        <x:v>TEX</x:v>
      </x:c>
      <x:c r="B14" s="57" t="str">
        <x:v>Modify Lateral Load / user loads</x:v>
      </x:c>
      <x:c r="C14" s="57" t="str">
        <x:v>0</x:v>
      </x:c>
      <x:c r="D14" s="57" t="str">
        <x:v>0</x:v>
      </x:c>
      <x:c r="E14" s="57" t="str">
        <x:v>Mt_X por piso</x:v>
      </x:c>
      <x:c r="F14" s="57" t="str">
        <x:v>Centro de masa/diafragma</x:v>
      </x:c>
      <x:c r="G14" s="57" t="str">
        <x:v>Momento alrededor de Z.</x:v>
      </x:c>
      <x:c r="H14" s="57"/>
      <x:c r="I14" s="57"/>
      <x:c r="J14" s="57"/>
      <x:c r="K14" s="57"/>
      <x:c r="L14" s="57"/>
      <x:c r="M14" s="57"/>
      <x:c r="N14" s="57"/>
      <x:c r="O14" s="57"/>
      <x:c r="P14" s="57"/>
      <x:c r="Q14" s="58"/>
    </x:row>
    <x:row r="15">
      <x:c r="A15" s="59" t="str">
        <x:v>TEY</x:v>
      </x:c>
      <x:c r="B15" s="60" t="str">
        <x:v>Modify Lateral Load / user loads</x:v>
      </x:c>
      <x:c r="C15" s="60" t="str">
        <x:v>0</x:v>
      </x:c>
      <x:c r="D15" s="60" t="str">
        <x:v>0</x:v>
      </x:c>
      <x:c r="E15" s="60" t="str">
        <x:v>Mt_Y por piso</x:v>
      </x:c>
      <x:c r="F15" s="60" t="str">
        <x:v>Centro de masa/diafragma</x:v>
      </x:c>
      <x:c r="G15" s="60" t="str">
        <x:v>Momento alrededor de Z.</x:v>
      </x:c>
      <x:c r="H15" s="60"/>
      <x:c r="I15" s="60"/>
      <x:c r="J15" s="60"/>
      <x:c r="K15" s="60"/>
      <x:c r="L15" s="60"/>
      <x:c r="M15" s="60"/>
      <x:c r="N15" s="60"/>
      <x:c r="O15" s="60"/>
      <x:c r="P15" s="60"/>
      <x:c r="Q15" s="61"/>
    </x:row>
  </x:sheetData>
  <x:mergeCells>
    <x:mergeCell ref="A1:Q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9.140625" defaultRowHeight="15"/>
  <x:cols>
    <x:col min="1" max="1" width="8" hidden="0" customWidth="1"/>
    <x:col min="2" max="2" width="24" hidden="0" customWidth="1"/>
    <x:col min="3" max="3" width="14" hidden="0" customWidth="1"/>
    <x:col min="4" max="4" width="36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16" hidden="0" customWidth="1"/>
    <x:col min="15" max="15" width="40" hidden="0" customWidth="1"/>
  </x:cols>
  <x:sheetData>
    <x:row r="1" ht="24" customHeight="1">
      <x:c r="A1" s="28" t="str">
        <x:v>06 — 19 combinaciones de resistencia + drift</x:v>
      </x:c>
      <x:c r="B1"/>
    </x:row>
    <x:row r="2">
      <x:c r="A2"/>
      <x:c r="B2"/>
    </x:row>
    <x:row r="3">
      <x:c r="A3" s="178" t="str">
        <x:v>N°</x:v>
      </x:c>
      <x:c r="B3" s="179" t="str">
        <x:v>Combo</x:v>
      </x:c>
      <x:c r="C3" s="179" t="str">
        <x:v>Tipo</x:v>
      </x:c>
      <x:c r="D3" s="179" t="str">
        <x:v>Expresión teórica</x:v>
      </x:c>
      <x:c r="E3" s="179" t="str">
        <x:v>PP</x:v>
      </x:c>
      <x:c r="F3" s="179" t="str">
        <x:v>TERP</x:v>
      </x:c>
      <x:c r="G3" s="179" t="str">
        <x:v>TERT</x:v>
      </x:c>
      <x:c r="H3" s="179" t="str">
        <x:v>SCP</x:v>
      </x:c>
      <x:c r="I3" s="179" t="str">
        <x:v>SCT</x:v>
      </x:c>
      <x:c r="J3" s="179" t="str">
        <x:v>EX</x:v>
      </x:c>
      <x:c r="K3" s="179" t="str">
        <x:v>EY</x:v>
      </x:c>
      <x:c r="L3" s="179" t="str">
        <x:v>TEX</x:v>
      </x:c>
      <x:c r="M3" s="179" t="str">
        <x:v>TEY</x:v>
      </x:c>
      <x:c r="N3" s="179" t="str">
        <x:v>Uso</x:v>
      </x:c>
      <x:c r="O3" s="180" t="str">
        <x:v>Nota</x:v>
      </x:c>
    </x:row>
    <x:row r="4">
      <x:c r="A4" s="56" t="n">
        <x:v>1</x:v>
      </x:c>
      <x:c r="B4" s="57" t="str">
        <x:v>C1_1.4D</x:v>
      </x:c>
      <x:c r="C4" s="57" t="str">
        <x:v>Grav</x:v>
      </x:c>
      <x:c r="D4" s="57" t="str">
        <x:v>1.4D</x:v>
      </x:c>
      <x:c r="E4" s="216" t="n">
        <x:v>1.4</x:v>
      </x:c>
      <x:c r="F4" s="216" t="n">
        <x:v>1.4</x:v>
      </x:c>
      <x:c r="G4" s="216" t="n">
        <x:v>1.4</x:v>
      </x:c>
      <x:c r="H4" s="216" t="n">
        <x:v>0</x:v>
      </x:c>
      <x:c r="I4" s="216" t="n">
        <x:v>0</x:v>
      </x:c>
      <x:c r="J4" s="216" t="n">
        <x:v>0</x:v>
      </x:c>
      <x:c r="K4" s="216" t="n">
        <x:v>0</x:v>
      </x:c>
      <x:c r="L4" s="216" t="n">
        <x:v>0</x:v>
      </x:c>
      <x:c r="M4" s="216" t="n">
        <x:v>0</x:v>
      </x:c>
      <x:c r="N4" s="57" t="str">
        <x:v>Resistencia</x:v>
      </x:c>
      <x:c r="O4" s="58" t="str"/>
    </x:row>
    <x:row r="5">
      <x:c r="A5" s="56" t="n">
        <x:v>2</x:v>
      </x:c>
      <x:c r="B5" s="57" t="str">
        <x:v>C2_1.2D_1.6L_0.5Lr</x:v>
      </x:c>
      <x:c r="C5" s="57" t="str">
        <x:v>Grav</x:v>
      </x:c>
      <x:c r="D5" s="57" t="str">
        <x:v>1.2D + 1.6L + 0.5Lr</x:v>
      </x:c>
      <x:c r="E5" s="216" t="n">
        <x:v>1.2</x:v>
      </x:c>
      <x:c r="F5" s="216" t="n">
        <x:v>1.2</x:v>
      </x:c>
      <x:c r="G5" s="216" t="n">
        <x:v>1.2</x:v>
      </x:c>
      <x:c r="H5" s="216" t="n">
        <x:v>1.6</x:v>
      </x:c>
      <x:c r="I5" s="216" t="n">
        <x:v>0.5</x:v>
      </x:c>
      <x:c r="J5" s="216" t="n">
        <x:v>0</x:v>
      </x:c>
      <x:c r="K5" s="216" t="n">
        <x:v>0</x:v>
      </x:c>
      <x:c r="L5" s="216" t="n">
        <x:v>0</x:v>
      </x:c>
      <x:c r="M5" s="216" t="n">
        <x:v>0</x:v>
      </x:c>
      <x:c r="N5" s="57" t="str">
        <x:v>Resistencia</x:v>
      </x:c>
      <x:c r="O5" s="58" t="str"/>
    </x:row>
    <x:row r="6">
      <x:c r="A6" s="56" t="n">
        <x:v>3</x:v>
      </x:c>
      <x:c r="B6" s="57" t="str">
        <x:v>C3_1.2D_1.0L_1.6Lr</x:v>
      </x:c>
      <x:c r="C6" s="57" t="str">
        <x:v>Grav</x:v>
      </x:c>
      <x:c r="D6" s="57" t="str">
        <x:v>1.2D + 1.0L + 1.6Lr</x:v>
      </x:c>
      <x:c r="E6" s="216" t="n">
        <x:v>1.2</x:v>
      </x:c>
      <x:c r="F6" s="216" t="n">
        <x:v>1.2</x:v>
      </x:c>
      <x:c r="G6" s="216" t="n">
        <x:v>1.2</x:v>
      </x:c>
      <x:c r="H6" s="216" t="n">
        <x:v>1</x:v>
      </x:c>
      <x:c r="I6" s="216" t="n">
        <x:v>1.6</x:v>
      </x:c>
      <x:c r="J6" s="216" t="n">
        <x:v>0</x:v>
      </x:c>
      <x:c r="K6" s="216" t="n">
        <x:v>0</x:v>
      </x:c>
      <x:c r="L6" s="216" t="n">
        <x:v>0</x:v>
      </x:c>
      <x:c r="M6" s="216" t="n">
        <x:v>0</x:v>
      </x:c>
      <x:c r="N6" s="57" t="str">
        <x:v>Resistencia</x:v>
      </x:c>
      <x:c r="O6" s="58" t="str"/>
    </x:row>
    <x:row r="7">
      <x:c r="A7" s="56" t="n">
        <x:v>4</x:v>
      </x:c>
      <x:c r="B7" s="57" t="str">
        <x:v>C4_X+_T+</x:v>
      </x:c>
      <x:c r="C7" s="57" t="str">
        <x:v>Sismo X</x:v>
      </x:c>
      <x:c r="D7" s="57" t="str">
        <x:v>1.2D + L ± 1.4EX ± 1.4TEX</x:v>
      </x:c>
      <x:c r="E7" s="216" t="n">
        <x:v>1.2</x:v>
      </x:c>
      <x:c r="F7" s="216" t="n">
        <x:v>1.2</x:v>
      </x:c>
      <x:c r="G7" s="216" t="n">
        <x:v>1.2</x:v>
      </x:c>
      <x:c r="H7" s="216" t="n">
        <x:v>1</x:v>
      </x:c>
      <x:c r="I7" s="216" t="n">
        <x:v>0</x:v>
      </x:c>
      <x:c r="J7" s="216" t="n">
        <x:v>1.4</x:v>
      </x:c>
      <x:c r="K7" s="216" t="n">
        <x:v>0</x:v>
      </x:c>
      <x:c r="L7" s="216" t="n">
        <x:v>1.4</x:v>
      </x:c>
      <x:c r="M7" s="216" t="n">
        <x:v>0</x:v>
      </x:c>
      <x:c r="N7" s="57" t="str">
        <x:v>Resistencia</x:v>
      </x:c>
      <x:c r="O7" s="58" t="str">
        <x:v>SCT no participa en esta familia.</x:v>
      </x:c>
    </x:row>
    <x:row r="8">
      <x:c r="A8" s="56" t="n">
        <x:v>5</x:v>
      </x:c>
      <x:c r="B8" s="57" t="str">
        <x:v>C4_X+_T-</x:v>
      </x:c>
      <x:c r="C8" s="57" t="str">
        <x:v>Sismo X</x:v>
      </x:c>
      <x:c r="D8" s="57" t="str">
        <x:v>1.2D + L ± 1.4EX ± 1.4TEX</x:v>
      </x:c>
      <x:c r="E8" s="216" t="n">
        <x:v>1.2</x:v>
      </x:c>
      <x:c r="F8" s="216" t="n">
        <x:v>1.2</x:v>
      </x:c>
      <x:c r="G8" s="216" t="n">
        <x:v>1.2</x:v>
      </x:c>
      <x:c r="H8" s="216" t="n">
        <x:v>1</x:v>
      </x:c>
      <x:c r="I8" s="216" t="n">
        <x:v>0</x:v>
      </x:c>
      <x:c r="J8" s="216" t="n">
        <x:v>1.4</x:v>
      </x:c>
      <x:c r="K8" s="216" t="n">
        <x:v>0</x:v>
      </x:c>
      <x:c r="L8" s="216" t="n">
        <x:v>-1.4</x:v>
      </x:c>
      <x:c r="M8" s="216" t="n">
        <x:v>0</x:v>
      </x:c>
      <x:c r="N8" s="57" t="str">
        <x:v>Resistencia</x:v>
      </x:c>
      <x:c r="O8" s="58" t="str">
        <x:v>SCT no participa en esta familia.</x:v>
      </x:c>
    </x:row>
    <x:row r="9">
      <x:c r="A9" s="56" t="n">
        <x:v>6</x:v>
      </x:c>
      <x:c r="B9" s="57" t="str">
        <x:v>C4_X-_T+</x:v>
      </x:c>
      <x:c r="C9" s="57" t="str">
        <x:v>Sismo X</x:v>
      </x:c>
      <x:c r="D9" s="57" t="str">
        <x:v>1.2D + L ± 1.4EX ± 1.4TEX</x:v>
      </x:c>
      <x:c r="E9" s="216" t="n">
        <x:v>1.2</x:v>
      </x:c>
      <x:c r="F9" s="216" t="n">
        <x:v>1.2</x:v>
      </x:c>
      <x:c r="G9" s="216" t="n">
        <x:v>1.2</x:v>
      </x:c>
      <x:c r="H9" s="216" t="n">
        <x:v>1</x:v>
      </x:c>
      <x:c r="I9" s="216" t="n">
        <x:v>0</x:v>
      </x:c>
      <x:c r="J9" s="216" t="n">
        <x:v>-1.4</x:v>
      </x:c>
      <x:c r="K9" s="216" t="n">
        <x:v>0</x:v>
      </x:c>
      <x:c r="L9" s="216" t="n">
        <x:v>1.4</x:v>
      </x:c>
      <x:c r="M9" s="216" t="n">
        <x:v>0</x:v>
      </x:c>
      <x:c r="N9" s="57" t="str">
        <x:v>Resistencia</x:v>
      </x:c>
      <x:c r="O9" s="58" t="str">
        <x:v>SCT no participa en esta familia.</x:v>
      </x:c>
    </x:row>
    <x:row r="10">
      <x:c r="A10" s="56" t="n">
        <x:v>7</x:v>
      </x:c>
      <x:c r="B10" s="57" t="str">
        <x:v>C4_X-_T-</x:v>
      </x:c>
      <x:c r="C10" s="57" t="str">
        <x:v>Sismo X</x:v>
      </x:c>
      <x:c r="D10" s="57" t="str">
        <x:v>1.2D + L ± 1.4EX ± 1.4TEX</x:v>
      </x:c>
      <x:c r="E10" s="216" t="n">
        <x:v>1.2</x:v>
      </x:c>
      <x:c r="F10" s="216" t="n">
        <x:v>1.2</x:v>
      </x:c>
      <x:c r="G10" s="216" t="n">
        <x:v>1.2</x:v>
      </x:c>
      <x:c r="H10" s="216" t="n">
        <x:v>1</x:v>
      </x:c>
      <x:c r="I10" s="216" t="n">
        <x:v>0</x:v>
      </x:c>
      <x:c r="J10" s="216" t="n">
        <x:v>-1.4</x:v>
      </x:c>
      <x:c r="K10" s="216" t="n">
        <x:v>0</x:v>
      </x:c>
      <x:c r="L10" s="216" t="n">
        <x:v>-1.4</x:v>
      </x:c>
      <x:c r="M10" s="216" t="n">
        <x:v>0</x:v>
      </x:c>
      <x:c r="N10" s="57" t="str">
        <x:v>Resistencia</x:v>
      </x:c>
      <x:c r="O10" s="58" t="str">
        <x:v>SCT no participa en esta familia.</x:v>
      </x:c>
    </x:row>
    <x:row r="11">
      <x:c r="A11" s="56" t="n">
        <x:v>8</x:v>
      </x:c>
      <x:c r="B11" s="57" t="str">
        <x:v>C5_X+_T+</x:v>
      </x:c>
      <x:c r="C11" s="57" t="str">
        <x:v>Sismo X</x:v>
      </x:c>
      <x:c r="D11" s="57" t="str">
        <x:v>0.9D ± 1.4EX ± 1.4TEX</x:v>
      </x:c>
      <x:c r="E11" s="216" t="n">
        <x:v>0.9</x:v>
      </x:c>
      <x:c r="F11" s="216" t="n">
        <x:v>0.9</x:v>
      </x:c>
      <x:c r="G11" s="216" t="n">
        <x:v>0.9</x:v>
      </x:c>
      <x:c r="H11" s="216" t="n">
        <x:v>0</x:v>
      </x:c>
      <x:c r="I11" s="216" t="n">
        <x:v>0</x:v>
      </x:c>
      <x:c r="J11" s="216" t="n">
        <x:v>1.4</x:v>
      </x:c>
      <x:c r="K11" s="216" t="n">
        <x:v>0</x:v>
      </x:c>
      <x:c r="L11" s="216" t="n">
        <x:v>1.4</x:v>
      </x:c>
      <x:c r="M11" s="216" t="n">
        <x:v>0</x:v>
      </x:c>
      <x:c r="N11" s="57" t="str">
        <x:v>Resistencia</x:v>
      </x:c>
      <x:c r="O11" s="58" t="str"/>
    </x:row>
    <x:row r="12">
      <x:c r="A12" s="56" t="n">
        <x:v>9</x:v>
      </x:c>
      <x:c r="B12" s="57" t="str">
        <x:v>C5_X+_T-</x:v>
      </x:c>
      <x:c r="C12" s="57" t="str">
        <x:v>Sismo X</x:v>
      </x:c>
      <x:c r="D12" s="57" t="str">
        <x:v>0.9D ± 1.4EX ± 1.4TEX</x:v>
      </x:c>
      <x:c r="E12" s="216" t="n">
        <x:v>0.9</x:v>
      </x:c>
      <x:c r="F12" s="216" t="n">
        <x:v>0.9</x:v>
      </x:c>
      <x:c r="G12" s="216" t="n">
        <x:v>0.9</x:v>
      </x:c>
      <x:c r="H12" s="216" t="n">
        <x:v>0</x:v>
      </x:c>
      <x:c r="I12" s="216" t="n">
        <x:v>0</x:v>
      </x:c>
      <x:c r="J12" s="216" t="n">
        <x:v>1.4</x:v>
      </x:c>
      <x:c r="K12" s="216" t="n">
        <x:v>0</x:v>
      </x:c>
      <x:c r="L12" s="216" t="n">
        <x:v>-1.4</x:v>
      </x:c>
      <x:c r="M12" s="216" t="n">
        <x:v>0</x:v>
      </x:c>
      <x:c r="N12" s="57" t="str">
        <x:v>Resistencia</x:v>
      </x:c>
      <x:c r="O12" s="58" t="str"/>
    </x:row>
    <x:row r="13">
      <x:c r="A13" s="56" t="n">
        <x:v>10</x:v>
      </x:c>
      <x:c r="B13" s="57" t="str">
        <x:v>C5_X-_T+</x:v>
      </x:c>
      <x:c r="C13" s="57" t="str">
        <x:v>Sismo X</x:v>
      </x:c>
      <x:c r="D13" s="57" t="str">
        <x:v>0.9D ± 1.4EX ± 1.4TEX</x:v>
      </x:c>
      <x:c r="E13" s="216" t="n">
        <x:v>0.9</x:v>
      </x:c>
      <x:c r="F13" s="216" t="n">
        <x:v>0.9</x:v>
      </x:c>
      <x:c r="G13" s="216" t="n">
        <x:v>0.9</x:v>
      </x:c>
      <x:c r="H13" s="216" t="n">
        <x:v>0</x:v>
      </x:c>
      <x:c r="I13" s="216" t="n">
        <x:v>0</x:v>
      </x:c>
      <x:c r="J13" s="216" t="n">
        <x:v>-1.4</x:v>
      </x:c>
      <x:c r="K13" s="216" t="n">
        <x:v>0</x:v>
      </x:c>
      <x:c r="L13" s="216" t="n">
        <x:v>1.4</x:v>
      </x:c>
      <x:c r="M13" s="216" t="n">
        <x:v>0</x:v>
      </x:c>
      <x:c r="N13" s="57" t="str">
        <x:v>Resistencia</x:v>
      </x:c>
      <x:c r="O13" s="58" t="str"/>
    </x:row>
    <x:row r="14">
      <x:c r="A14" s="56" t="n">
        <x:v>11</x:v>
      </x:c>
      <x:c r="B14" s="57" t="str">
        <x:v>C5_X-_T-</x:v>
      </x:c>
      <x:c r="C14" s="57" t="str">
        <x:v>Sismo X</x:v>
      </x:c>
      <x:c r="D14" s="57" t="str">
        <x:v>0.9D ± 1.4EX ± 1.4TEX</x:v>
      </x:c>
      <x:c r="E14" s="216" t="n">
        <x:v>0.9</x:v>
      </x:c>
      <x:c r="F14" s="216" t="n">
        <x:v>0.9</x:v>
      </x:c>
      <x:c r="G14" s="216" t="n">
        <x:v>0.9</x:v>
      </x:c>
      <x:c r="H14" s="216" t="n">
        <x:v>0</x:v>
      </x:c>
      <x:c r="I14" s="216" t="n">
        <x:v>0</x:v>
      </x:c>
      <x:c r="J14" s="216" t="n">
        <x:v>-1.4</x:v>
      </x:c>
      <x:c r="K14" s="216" t="n">
        <x:v>0</x:v>
      </x:c>
      <x:c r="L14" s="216" t="n">
        <x:v>-1.4</x:v>
      </x:c>
      <x:c r="M14" s="216" t="n">
        <x:v>0</x:v>
      </x:c>
      <x:c r="N14" s="57" t="str">
        <x:v>Resistencia</x:v>
      </x:c>
      <x:c r="O14" s="58" t="str"/>
    </x:row>
    <x:row r="15">
      <x:c r="A15" s="56" t="n">
        <x:v>12</x:v>
      </x:c>
      <x:c r="B15" s="57" t="str">
        <x:v>C6_Y+_T+</x:v>
      </x:c>
      <x:c r="C15" s="57" t="str">
        <x:v>Sismo Y</x:v>
      </x:c>
      <x:c r="D15" s="57" t="str">
        <x:v>1.2D + L ± 1.4EY ± 1.4TEY</x:v>
      </x:c>
      <x:c r="E15" s="216" t="n">
        <x:v>1.2</x:v>
      </x:c>
      <x:c r="F15" s="216" t="n">
        <x:v>1.2</x:v>
      </x:c>
      <x:c r="G15" s="216" t="n">
        <x:v>1.2</x:v>
      </x:c>
      <x:c r="H15" s="216" t="n">
        <x:v>1</x:v>
      </x:c>
      <x:c r="I15" s="216" t="n">
        <x:v>0</x:v>
      </x:c>
      <x:c r="J15" s="216" t="n">
        <x:v>0</x:v>
      </x:c>
      <x:c r="K15" s="216" t="n">
        <x:v>1.4</x:v>
      </x:c>
      <x:c r="L15" s="216" t="n">
        <x:v>0</x:v>
      </x:c>
      <x:c r="M15" s="216" t="n">
        <x:v>1.4</x:v>
      </x:c>
      <x:c r="N15" s="57" t="str">
        <x:v>Resistencia</x:v>
      </x:c>
      <x:c r="O15" s="58" t="str">
        <x:v>SCT no participa en esta familia.</x:v>
      </x:c>
    </x:row>
    <x:row r="16">
      <x:c r="A16" s="56" t="n">
        <x:v>13</x:v>
      </x:c>
      <x:c r="B16" s="57" t="str">
        <x:v>C6_Y+_T-</x:v>
      </x:c>
      <x:c r="C16" s="57" t="str">
        <x:v>Sismo Y</x:v>
      </x:c>
      <x:c r="D16" s="57" t="str">
        <x:v>1.2D + L ± 1.4EY ± 1.4TEY</x:v>
      </x:c>
      <x:c r="E16" s="216" t="n">
        <x:v>1.2</x:v>
      </x:c>
      <x:c r="F16" s="216" t="n">
        <x:v>1.2</x:v>
      </x:c>
      <x:c r="G16" s="216" t="n">
        <x:v>1.2</x:v>
      </x:c>
      <x:c r="H16" s="216" t="n">
        <x:v>1</x:v>
      </x:c>
      <x:c r="I16" s="216" t="n">
        <x:v>0</x:v>
      </x:c>
      <x:c r="J16" s="216" t="n">
        <x:v>0</x:v>
      </x:c>
      <x:c r="K16" s="216" t="n">
        <x:v>1.4</x:v>
      </x:c>
      <x:c r="L16" s="216" t="n">
        <x:v>0</x:v>
      </x:c>
      <x:c r="M16" s="216" t="n">
        <x:v>-1.4</x:v>
      </x:c>
      <x:c r="N16" s="57" t="str">
        <x:v>Resistencia</x:v>
      </x:c>
      <x:c r="O16" s="58" t="str">
        <x:v>SCT no participa en esta familia.</x:v>
      </x:c>
    </x:row>
    <x:row r="17">
      <x:c r="A17" s="56" t="n">
        <x:v>14</x:v>
      </x:c>
      <x:c r="B17" s="57" t="str">
        <x:v>C6_Y-_T+</x:v>
      </x:c>
      <x:c r="C17" s="57" t="str">
        <x:v>Sismo Y</x:v>
      </x:c>
      <x:c r="D17" s="57" t="str">
        <x:v>1.2D + L ± 1.4EY ± 1.4TEY</x:v>
      </x:c>
      <x:c r="E17" s="216" t="n">
        <x:v>1.2</x:v>
      </x:c>
      <x:c r="F17" s="216" t="n">
        <x:v>1.2</x:v>
      </x:c>
      <x:c r="G17" s="216" t="n">
        <x:v>1.2</x:v>
      </x:c>
      <x:c r="H17" s="216" t="n">
        <x:v>1</x:v>
      </x:c>
      <x:c r="I17" s="216" t="n">
        <x:v>0</x:v>
      </x:c>
      <x:c r="J17" s="216" t="n">
        <x:v>0</x:v>
      </x:c>
      <x:c r="K17" s="216" t="n">
        <x:v>-1.4</x:v>
      </x:c>
      <x:c r="L17" s="216" t="n">
        <x:v>0</x:v>
      </x:c>
      <x:c r="M17" s="216" t="n">
        <x:v>1.4</x:v>
      </x:c>
      <x:c r="N17" s="57" t="str">
        <x:v>Resistencia</x:v>
      </x:c>
      <x:c r="O17" s="58" t="str">
        <x:v>SCT no participa en esta familia.</x:v>
      </x:c>
    </x:row>
    <x:row r="18">
      <x:c r="A18" s="56" t="n">
        <x:v>15</x:v>
      </x:c>
      <x:c r="B18" s="57" t="str">
        <x:v>C6_Y-_T-</x:v>
      </x:c>
      <x:c r="C18" s="57" t="str">
        <x:v>Sismo Y</x:v>
      </x:c>
      <x:c r="D18" s="57" t="str">
        <x:v>1.2D + L ± 1.4EY ± 1.4TEY</x:v>
      </x:c>
      <x:c r="E18" s="216" t="n">
        <x:v>1.2</x:v>
      </x:c>
      <x:c r="F18" s="216" t="n">
        <x:v>1.2</x:v>
      </x:c>
      <x:c r="G18" s="216" t="n">
        <x:v>1.2</x:v>
      </x:c>
      <x:c r="H18" s="216" t="n">
        <x:v>1</x:v>
      </x:c>
      <x:c r="I18" s="216" t="n">
        <x:v>0</x:v>
      </x:c>
      <x:c r="J18" s="216" t="n">
        <x:v>0</x:v>
      </x:c>
      <x:c r="K18" s="216" t="n">
        <x:v>-1.4</x:v>
      </x:c>
      <x:c r="L18" s="216" t="n">
        <x:v>0</x:v>
      </x:c>
      <x:c r="M18" s="216" t="n">
        <x:v>-1.4</x:v>
      </x:c>
      <x:c r="N18" s="57" t="str">
        <x:v>Resistencia</x:v>
      </x:c>
      <x:c r="O18" s="58" t="str">
        <x:v>SCT no participa en esta familia.</x:v>
      </x:c>
    </x:row>
    <x:row r="19">
      <x:c r="A19" s="56" t="n">
        <x:v>16</x:v>
      </x:c>
      <x:c r="B19" s="57" t="str">
        <x:v>C7_Y+_T+</x:v>
      </x:c>
      <x:c r="C19" s="57" t="str">
        <x:v>Sismo Y</x:v>
      </x:c>
      <x:c r="D19" s="57" t="str">
        <x:v>0.9D ± 1.4EY ± 1.4TEY</x:v>
      </x:c>
      <x:c r="E19" s="216" t="n">
        <x:v>0.9</x:v>
      </x:c>
      <x:c r="F19" s="216" t="n">
        <x:v>0.9</x:v>
      </x:c>
      <x:c r="G19" s="216" t="n">
        <x:v>0.9</x:v>
      </x:c>
      <x:c r="H19" s="216" t="n">
        <x:v>0</x:v>
      </x:c>
      <x:c r="I19" s="216" t="n">
        <x:v>0</x:v>
      </x:c>
      <x:c r="J19" s="216" t="n">
        <x:v>0</x:v>
      </x:c>
      <x:c r="K19" s="216" t="n">
        <x:v>1.4</x:v>
      </x:c>
      <x:c r="L19" s="216" t="n">
        <x:v>0</x:v>
      </x:c>
      <x:c r="M19" s="216" t="n">
        <x:v>1.4</x:v>
      </x:c>
      <x:c r="N19" s="57" t="str">
        <x:v>Resistencia</x:v>
      </x:c>
      <x:c r="O19" s="58" t="str"/>
    </x:row>
    <x:row r="20">
      <x:c r="A20" s="56" t="n">
        <x:v>17</x:v>
      </x:c>
      <x:c r="B20" s="57" t="str">
        <x:v>C7_Y+_T-</x:v>
      </x:c>
      <x:c r="C20" s="57" t="str">
        <x:v>Sismo Y</x:v>
      </x:c>
      <x:c r="D20" s="57" t="str">
        <x:v>0.9D ± 1.4EY ± 1.4TEY</x:v>
      </x:c>
      <x:c r="E20" s="216" t="n">
        <x:v>0.9</x:v>
      </x:c>
      <x:c r="F20" s="216" t="n">
        <x:v>0.9</x:v>
      </x:c>
      <x:c r="G20" s="216" t="n">
        <x:v>0.9</x:v>
      </x:c>
      <x:c r="H20" s="216" t="n">
        <x:v>0</x:v>
      </x:c>
      <x:c r="I20" s="216" t="n">
        <x:v>0</x:v>
      </x:c>
      <x:c r="J20" s="216" t="n">
        <x:v>0</x:v>
      </x:c>
      <x:c r="K20" s="216" t="n">
        <x:v>1.4</x:v>
      </x:c>
      <x:c r="L20" s="216" t="n">
        <x:v>0</x:v>
      </x:c>
      <x:c r="M20" s="216" t="n">
        <x:v>-1.4</x:v>
      </x:c>
      <x:c r="N20" s="57" t="str">
        <x:v>Resistencia</x:v>
      </x:c>
      <x:c r="O20" s="58" t="str"/>
    </x:row>
    <x:row r="21">
      <x:c r="A21" s="56" t="n">
        <x:v>18</x:v>
      </x:c>
      <x:c r="B21" s="57" t="str">
        <x:v>C7_Y-_T+</x:v>
      </x:c>
      <x:c r="C21" s="57" t="str">
        <x:v>Sismo Y</x:v>
      </x:c>
      <x:c r="D21" s="57" t="str">
        <x:v>0.9D ± 1.4EY ± 1.4TEY</x:v>
      </x:c>
      <x:c r="E21" s="216" t="n">
        <x:v>0.9</x:v>
      </x:c>
      <x:c r="F21" s="216" t="n">
        <x:v>0.9</x:v>
      </x:c>
      <x:c r="G21" s="216" t="n">
        <x:v>0.9</x:v>
      </x:c>
      <x:c r="H21" s="216" t="n">
        <x:v>0</x:v>
      </x:c>
      <x:c r="I21" s="216" t="n">
        <x:v>0</x:v>
      </x:c>
      <x:c r="J21" s="216" t="n">
        <x:v>0</x:v>
      </x:c>
      <x:c r="K21" s="216" t="n">
        <x:v>-1.4</x:v>
      </x:c>
      <x:c r="L21" s="216" t="n">
        <x:v>0</x:v>
      </x:c>
      <x:c r="M21" s="216" t="n">
        <x:v>1.4</x:v>
      </x:c>
      <x:c r="N21" s="57" t="str">
        <x:v>Resistencia</x:v>
      </x:c>
      <x:c r="O21" s="58" t="str"/>
    </x:row>
    <x:row r="22">
      <x:c r="A22" s="56" t="n">
        <x:v>19</x:v>
      </x:c>
      <x:c r="B22" s="57" t="str">
        <x:v>C7_Y-_T-</x:v>
      </x:c>
      <x:c r="C22" s="57" t="str">
        <x:v>Sismo Y</x:v>
      </x:c>
      <x:c r="D22" s="57" t="str">
        <x:v>0.9D ± 1.4EY ± 1.4TEY</x:v>
      </x:c>
      <x:c r="E22" s="216" t="n">
        <x:v>0.9</x:v>
      </x:c>
      <x:c r="F22" s="216" t="n">
        <x:v>0.9</x:v>
      </x:c>
      <x:c r="G22" s="216" t="n">
        <x:v>0.9</x:v>
      </x:c>
      <x:c r="H22" s="216" t="n">
        <x:v>0</x:v>
      </x:c>
      <x:c r="I22" s="216" t="n">
        <x:v>0</x:v>
      </x:c>
      <x:c r="J22" s="216" t="n">
        <x:v>0</x:v>
      </x:c>
      <x:c r="K22" s="216" t="n">
        <x:v>-1.4</x:v>
      </x:c>
      <x:c r="L22" s="216" t="n">
        <x:v>0</x:v>
      </x:c>
      <x:c r="M22" s="216" t="n">
        <x:v>-1.4</x:v>
      </x:c>
      <x:c r="N22" s="57" t="str">
        <x:v>Resistencia</x:v>
      </x:c>
      <x:c r="O22" s="58" t="str"/>
    </x:row>
    <x:row r="23">
      <x:c r="A23" s="56"/>
      <x:c r="B23" s="57"/>
      <x:c r="C23" s="57"/>
      <x:c r="D23" s="57"/>
      <x:c r="E23" s="210"/>
      <x:c r="F23" s="210"/>
      <x:c r="G23" s="210"/>
      <x:c r="H23" s="210"/>
      <x:c r="I23" s="210"/>
      <x:c r="J23" s="210"/>
      <x:c r="K23" s="210"/>
      <x:c r="L23" s="210"/>
      <x:c r="M23" s="210"/>
      <x:c r="N23" s="57"/>
      <x:c r="O23" s="58"/>
    </x:row>
    <x:row r="24">
      <x:c r="A24" s="56"/>
      <x:c r="B24" s="57"/>
      <x:c r="C24" s="57"/>
      <x:c r="D24" s="57"/>
      <x:c r="E24" s="210"/>
      <x:c r="F24" s="210"/>
      <x:c r="G24" s="210"/>
      <x:c r="H24" s="210"/>
      <x:c r="I24" s="210"/>
      <x:c r="J24" s="210"/>
      <x:c r="K24" s="210"/>
      <x:c r="L24" s="210"/>
      <x:c r="M24" s="210"/>
      <x:c r="N24" s="57"/>
      <x:c r="O24" s="58"/>
    </x:row>
    <x:row r="25">
      <x:c r="A25" s="204" t="str">
        <x:v>Drift</x:v>
      </x:c>
      <x:c r="B25" s="205" t="str">
        <x:v>Combo</x:v>
      </x:c>
      <x:c r="C25" s="205" t="str">
        <x:v>Tipo</x:v>
      </x:c>
      <x:c r="D25" s="205" t="str">
        <x:v>Expresión</x:v>
      </x:c>
      <x:c r="E25" s="211" t="str">
        <x:v>PP</x:v>
      </x:c>
      <x:c r="F25" s="211" t="str">
        <x:v>TERP</x:v>
      </x:c>
      <x:c r="G25" s="211" t="str">
        <x:v>TERT</x:v>
      </x:c>
      <x:c r="H25" s="211" t="str">
        <x:v>SCP</x:v>
      </x:c>
      <x:c r="I25" s="211" t="str">
        <x:v>SCT</x:v>
      </x:c>
      <x:c r="J25" s="211" t="str">
        <x:v>EX</x:v>
      </x:c>
      <x:c r="K25" s="211" t="str">
        <x:v>EY</x:v>
      </x:c>
      <x:c r="L25" s="211" t="str">
        <x:v>TEX</x:v>
      </x:c>
      <x:c r="M25" s="211" t="str">
        <x:v>TEY</x:v>
      </x:c>
      <x:c r="N25" s="205" t="str">
        <x:v>Uso</x:v>
      </x:c>
      <x:c r="O25" s="208" t="str">
        <x:v>Nota</x:v>
      </x:c>
    </x:row>
    <x:row r="26">
      <x:c r="A26" s="56" t="n">
        <x:v>1</x:v>
      </x:c>
      <x:c r="B26" s="57" t="str">
        <x:v>DX_X+T+</x:v>
      </x:c>
      <x:c r="C26" s="57" t="str">
        <x:v>Drift</x:v>
      </x:c>
      <x:c r="D26" s="57" t="str">
        <x:v>EX + TEX</x:v>
      </x:c>
      <x:c r="E26" s="216" t="n">
        <x:v>0</x:v>
      </x:c>
      <x:c r="F26" s="216" t="n">
        <x:v>0</x:v>
      </x:c>
      <x:c r="G26" s="216" t="n">
        <x:v>0</x:v>
      </x:c>
      <x:c r="H26" s="216" t="n">
        <x:v>0</x:v>
      </x:c>
      <x:c r="I26" s="216" t="n">
        <x:v>0</x:v>
      </x:c>
      <x:c r="J26" s="216" t="n">
        <x:v>1</x:v>
      </x:c>
      <x:c r="K26" s="216" t="n">
        <x:v>0</x:v>
      </x:c>
      <x:c r="L26" s="216" t="n">
        <x:v>1</x:v>
      </x:c>
      <x:c r="M26" s="216" t="n">
        <x:v>0</x:v>
      </x:c>
      <x:c r="N26" s="57" t="str">
        <x:v>Servicio</x:v>
      </x:c>
      <x:c r="O26" s="58" t="str">
        <x:v>No mayorar para deformaciones.</x:v>
      </x:c>
    </x:row>
    <x:row r="27">
      <x:c r="A27" s="56" t="n">
        <x:v>2</x:v>
      </x:c>
      <x:c r="B27" s="57" t="str">
        <x:v>DX_X+T-</x:v>
      </x:c>
      <x:c r="C27" s="57" t="str">
        <x:v>Drift</x:v>
      </x:c>
      <x:c r="D27" s="57" t="str">
        <x:v>EX - TEX</x:v>
      </x:c>
      <x:c r="E27" s="216" t="n">
        <x:v>0</x:v>
      </x:c>
      <x:c r="F27" s="216" t="n">
        <x:v>0</x:v>
      </x:c>
      <x:c r="G27" s="216" t="n">
        <x:v>0</x:v>
      </x:c>
      <x:c r="H27" s="216" t="n">
        <x:v>0</x:v>
      </x:c>
      <x:c r="I27" s="216" t="n">
        <x:v>0</x:v>
      </x:c>
      <x:c r="J27" s="216" t="n">
        <x:v>1</x:v>
      </x:c>
      <x:c r="K27" s="216" t="n">
        <x:v>0</x:v>
      </x:c>
      <x:c r="L27" s="216" t="n">
        <x:v>-1</x:v>
      </x:c>
      <x:c r="M27" s="216" t="n">
        <x:v>0</x:v>
      </x:c>
      <x:c r="N27" s="57" t="str">
        <x:v>Servicio</x:v>
      </x:c>
      <x:c r="O27" s="58" t="str">
        <x:v>No mayorar para deformaciones.</x:v>
      </x:c>
    </x:row>
    <x:row r="28">
      <x:c r="A28" s="56" t="n">
        <x:v>3</x:v>
      </x:c>
      <x:c r="B28" s="57" t="str">
        <x:v>DX_X-T+</x:v>
      </x:c>
      <x:c r="C28" s="57" t="str">
        <x:v>Drift</x:v>
      </x:c>
      <x:c r="D28" s="57" t="str">
        <x:v>-EX + TEX</x:v>
      </x:c>
      <x:c r="E28" s="216" t="n">
        <x:v>0</x:v>
      </x:c>
      <x:c r="F28" s="216" t="n">
        <x:v>0</x:v>
      </x:c>
      <x:c r="G28" s="216" t="n">
        <x:v>0</x:v>
      </x:c>
      <x:c r="H28" s="216" t="n">
        <x:v>0</x:v>
      </x:c>
      <x:c r="I28" s="216" t="n">
        <x:v>0</x:v>
      </x:c>
      <x:c r="J28" s="216" t="n">
        <x:v>-1</x:v>
      </x:c>
      <x:c r="K28" s="216" t="n">
        <x:v>0</x:v>
      </x:c>
      <x:c r="L28" s="216" t="n">
        <x:v>1</x:v>
      </x:c>
      <x:c r="M28" s="216" t="n">
        <x:v>0</x:v>
      </x:c>
      <x:c r="N28" s="57" t="str">
        <x:v>Servicio</x:v>
      </x:c>
      <x:c r="O28" s="58" t="str">
        <x:v>No mayorar para deformaciones.</x:v>
      </x:c>
    </x:row>
    <x:row r="29">
      <x:c r="A29" s="56" t="n">
        <x:v>4</x:v>
      </x:c>
      <x:c r="B29" s="57" t="str">
        <x:v>DX_X-T-</x:v>
      </x:c>
      <x:c r="C29" s="57" t="str">
        <x:v>Drift</x:v>
      </x:c>
      <x:c r="D29" s="57" t="str">
        <x:v>-EX - TEX</x:v>
      </x:c>
      <x:c r="E29" s="216" t="n">
        <x:v>0</x:v>
      </x:c>
      <x:c r="F29" s="216" t="n">
        <x:v>0</x:v>
      </x:c>
      <x:c r="G29" s="216" t="n">
        <x:v>0</x:v>
      </x:c>
      <x:c r="H29" s="216" t="n">
        <x:v>0</x:v>
      </x:c>
      <x:c r="I29" s="216" t="n">
        <x:v>0</x:v>
      </x:c>
      <x:c r="J29" s="216" t="n">
        <x:v>-1</x:v>
      </x:c>
      <x:c r="K29" s="216" t="n">
        <x:v>0</x:v>
      </x:c>
      <x:c r="L29" s="216" t="n">
        <x:v>-1</x:v>
      </x:c>
      <x:c r="M29" s="216" t="n">
        <x:v>0</x:v>
      </x:c>
      <x:c r="N29" s="57" t="str">
        <x:v>Servicio</x:v>
      </x:c>
      <x:c r="O29" s="58" t="str">
        <x:v>No mayorar para deformaciones.</x:v>
      </x:c>
    </x:row>
    <x:row r="30">
      <x:c r="A30" s="56" t="n">
        <x:v>5</x:v>
      </x:c>
      <x:c r="B30" s="57" t="str">
        <x:v>DY_Y+T+</x:v>
      </x:c>
      <x:c r="C30" s="57" t="str">
        <x:v>Drift</x:v>
      </x:c>
      <x:c r="D30" s="57" t="str">
        <x:v>EY + TEY</x:v>
      </x:c>
      <x:c r="E30" s="216" t="n">
        <x:v>0</x:v>
      </x:c>
      <x:c r="F30" s="216" t="n">
        <x:v>0</x:v>
      </x:c>
      <x:c r="G30" s="216" t="n">
        <x:v>0</x:v>
      </x:c>
      <x:c r="H30" s="216" t="n">
        <x:v>0</x:v>
      </x:c>
      <x:c r="I30" s="216" t="n">
        <x:v>0</x:v>
      </x:c>
      <x:c r="J30" s="216" t="n">
        <x:v>0</x:v>
      </x:c>
      <x:c r="K30" s="216" t="n">
        <x:v>1</x:v>
      </x:c>
      <x:c r="L30" s="216" t="n">
        <x:v>0</x:v>
      </x:c>
      <x:c r="M30" s="216" t="n">
        <x:v>1</x:v>
      </x:c>
      <x:c r="N30" s="57" t="str">
        <x:v>Servicio</x:v>
      </x:c>
      <x:c r="O30" s="58" t="str">
        <x:v>No mayorar para deformaciones.</x:v>
      </x:c>
    </x:row>
    <x:row r="31">
      <x:c r="A31" s="56" t="n">
        <x:v>6</x:v>
      </x:c>
      <x:c r="B31" s="57" t="str">
        <x:v>DY_Y+T-</x:v>
      </x:c>
      <x:c r="C31" s="57" t="str">
        <x:v>Drift</x:v>
      </x:c>
      <x:c r="D31" s="57" t="str">
        <x:v>EY - TEY</x:v>
      </x:c>
      <x:c r="E31" s="216" t="n">
        <x:v>0</x:v>
      </x:c>
      <x:c r="F31" s="216" t="n">
        <x:v>0</x:v>
      </x:c>
      <x:c r="G31" s="216" t="n">
        <x:v>0</x:v>
      </x:c>
      <x:c r="H31" s="216" t="n">
        <x:v>0</x:v>
      </x:c>
      <x:c r="I31" s="216" t="n">
        <x:v>0</x:v>
      </x:c>
      <x:c r="J31" s="216" t="n">
        <x:v>0</x:v>
      </x:c>
      <x:c r="K31" s="216" t="n">
        <x:v>1</x:v>
      </x:c>
      <x:c r="L31" s="216" t="n">
        <x:v>0</x:v>
      </x:c>
      <x:c r="M31" s="216" t="n">
        <x:v>-1</x:v>
      </x:c>
      <x:c r="N31" s="57" t="str">
        <x:v>Servicio</x:v>
      </x:c>
      <x:c r="O31" s="58" t="str">
        <x:v>No mayorar para deformaciones.</x:v>
      </x:c>
    </x:row>
    <x:row r="32">
      <x:c r="A32" s="56" t="n">
        <x:v>7</x:v>
      </x:c>
      <x:c r="B32" s="57" t="str">
        <x:v>DY_Y-T+</x:v>
      </x:c>
      <x:c r="C32" s="57" t="str">
        <x:v>Drift</x:v>
      </x:c>
      <x:c r="D32" s="57" t="str">
        <x:v>-EY + TEY</x:v>
      </x:c>
      <x:c r="E32" s="216" t="n">
        <x:v>0</x:v>
      </x:c>
      <x:c r="F32" s="216" t="n">
        <x:v>0</x:v>
      </x:c>
      <x:c r="G32" s="216" t="n">
        <x:v>0</x:v>
      </x:c>
      <x:c r="H32" s="216" t="n">
        <x:v>0</x:v>
      </x:c>
      <x:c r="I32" s="216" t="n">
        <x:v>0</x:v>
      </x:c>
      <x:c r="J32" s="216" t="n">
        <x:v>0</x:v>
      </x:c>
      <x:c r="K32" s="216" t="n">
        <x:v>-1</x:v>
      </x:c>
      <x:c r="L32" s="216" t="n">
        <x:v>0</x:v>
      </x:c>
      <x:c r="M32" s="216" t="n">
        <x:v>1</x:v>
      </x:c>
      <x:c r="N32" s="57" t="str">
        <x:v>Servicio</x:v>
      </x:c>
      <x:c r="O32" s="58" t="str">
        <x:v>No mayorar para deformaciones.</x:v>
      </x:c>
    </x:row>
    <x:row r="33">
      <x:c r="A33" s="59" t="n">
        <x:v>8</x:v>
      </x:c>
      <x:c r="B33" s="60" t="str">
        <x:v>DY_Y-T-</x:v>
      </x:c>
      <x:c r="C33" s="60" t="str">
        <x:v>Drift</x:v>
      </x:c>
      <x:c r="D33" s="60" t="str">
        <x:v>-EY - TEY</x:v>
      </x:c>
      <x:c r="E33" s="218" t="n">
        <x:v>0</x:v>
      </x:c>
      <x:c r="F33" s="218" t="n">
        <x:v>0</x:v>
      </x:c>
      <x:c r="G33" s="218" t="n">
        <x:v>0</x:v>
      </x:c>
      <x:c r="H33" s="218" t="n">
        <x:v>0</x:v>
      </x:c>
      <x:c r="I33" s="218" t="n">
        <x:v>0</x:v>
      </x:c>
      <x:c r="J33" s="218" t="n">
        <x:v>0</x:v>
      </x:c>
      <x:c r="K33" s="218" t="n">
        <x:v>-1</x:v>
      </x:c>
      <x:c r="L33" s="218" t="n">
        <x:v>0</x:v>
      </x:c>
      <x:c r="M33" s="218" t="n">
        <x:v>-1</x:v>
      </x:c>
      <x:c r="N33" s="60" t="str">
        <x:v>Servicio</x:v>
      </x:c>
      <x:c r="O33" s="61" t="str">
        <x:v>No mayorar para deformaciones.</x:v>
      </x:c>
    </x:row>
  </x:sheetData>
  <x:mergeCells>
    <x:mergeCell ref="A1:O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9.140625" defaultRowHeight="15"/>
  <x:cols>
    <x:col min="1" max="1" width="28" hidden="0" customWidth="1"/>
    <x:col min="2" max="3" width="24.7109375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54" hidden="0" customWidth="1"/>
  </x:cols>
  <x:sheetData>
    <x:row r="1" ht="24" customHeight="1">
      <x:c r="A1" s="28" t="str">
        <x:v>07 — Validaciones automáticas</x:v>
      </x:c>
      <x:c r="B1"/>
      <x:c r="C1"/>
    </x:row>
    <x:row r="2">
      <x:c r="A2"/>
      <x:c r="B2"/>
      <x:c r="C2"/>
    </x:row>
    <x:row r="3">
      <x:c r="A3" s="178" t="str">
        <x:v>Chequeo</x:v>
      </x:c>
      <x:c r="B3" s="179" t="str">
        <x:v>Referencia / fórmula</x:v>
      </x:c>
      <x:c r="C3" s="179" t="str">
        <x:v>Valor X</x:v>
      </x:c>
      <x:c r="D3" s="179" t="str">
        <x:v>Valor Y</x:v>
      </x:c>
      <x:c r="E3" s="179" t="str">
        <x:v>Estado</x:v>
      </x:c>
      <x:c r="F3" s="179" t="str">
        <x:v>Tolerancia</x:v>
      </x:c>
      <x:c r="G3" s="179" t="str">
        <x:v>Responsable</x:v>
      </x:c>
      <x:c r="H3" s="180" t="str">
        <x:v>Nota</x:v>
      </x:c>
    </x:row>
    <x:row r="4">
      <x:c r="A4" s="56" t="str">
        <x:v>SCT fuera de masa sísmica</x:v>
      </x:c>
      <x:c r="B4" s="57" t="str">
        <x:v>'01_Inputs'!B15</x:v>
      </x:c>
      <x:c r="C4" s="163" t="n">
        <x:f>'01_Inputs'!$B$15</x:f>
        <x:v>0</x:v>
      </x:c>
      <x:c r="D4" s="163" t="str">
        <x:f>""</x:f>
      </x:c>
      <x:c r="E4" s="157" t="str">
        <x:f>IF(ABS(C4)&lt;1E-9,"OK","REVISAR")</x:f>
        <x:v>OK</x:v>
      </x:c>
      <x:c r="F4" s="57" t="str">
        <x:v>Debe ser 0</x:v>
      </x:c>
      <x:c r="G4" s="57" t="str">
        <x:v>Manual</x:v>
      </x:c>
      <x:c r="H4" s="58" t="str">
        <x:v>Según última clase: SCT no entra a masa.</x:v>
      </x:c>
    </x:row>
    <x:row r="5">
      <x:c r="A5" s="56" t="str">
        <x:v>ΣP_k = P total</x:v>
      </x:c>
      <x:c r="B5" s="57" t="str">
        <x:v>SUM(Pk) vs hoja 03</x:v>
      </x:c>
      <x:c r="C5" s="163" t="n">
        <x:f>SUM('02_Datos_ETABS'!$C$4:$C$8)-'03_Coeficiente_C'!$B$9</x:f>
        <x:v>0</x:v>
      </x:c>
      <x:c r="D5" s="163" t="str">
        <x:f>""</x:f>
      </x:c>
      <x:c r="E5" s="157" t="str">
        <x:f>IF(ABS(C5)&lt;0.001,"OK","REVISAR")</x:f>
        <x:v>OK</x:v>
      </x:c>
      <x:c r="F5" s="57" t="str">
        <x:v>0.001 tonf</x:v>
      </x:c>
      <x:c r="G5" s="57" t="str">
        <x:v>Excel</x:v>
      </x:c>
      <x:c r="H5" s="58" t="str"/>
    </x:row>
    <x:row r="6">
      <x:c r="A6" s="56" t="str">
        <x:v>ΣA_k = 1</x:v>
      </x:c>
      <x:c r="B6" s="57" t="str">
        <x:v>SUM(Ak)</x:v>
      </x:c>
      <x:c r="C6" s="163" t="n">
        <x:f>SUM('04_Distribución'!$E$4:$E$8)</x:f>
        <x:v>1</x:v>
      </x:c>
      <x:c r="D6" s="163" t="str">
        <x:f>""</x:f>
      </x:c>
      <x:c r="E6" s="157" t="str">
        <x:f>IF(ABS(C6-1)&lt;0.000001,"OK","REVISAR")</x:f>
        <x:v>OK</x:v>
      </x:c>
      <x:c r="F6" s="57" t="str">
        <x:v>0.000001</x:v>
      </x:c>
      <x:c r="G6" s="57" t="str">
        <x:v>Excel</x:v>
      </x:c>
      <x:c r="H6" s="58" t="str"/>
    </x:row>
    <x:row r="7">
      <x:c r="A7" s="56" t="str">
        <x:v>ΣF_x - Q0x</x:v>
      </x:c>
      <x:c r="B7" s="57" t="str">
        <x:v>SUM(Fx)-Q0x</x:v>
      </x:c>
      <x:c r="C7" s="163" t="n">
        <x:f>SUM('04_Distribución'!$G$4:$G$8)-'03_Coeficiente_C'!$B$11</x:f>
        <x:v>0</x:v>
      </x:c>
      <x:c r="D7" s="163" t="str">
        <x:f>""</x:f>
      </x:c>
      <x:c r="E7" s="157" t="str">
        <x:f>IF(ABS(C7)&lt;0.001,"OK","REVISAR")</x:f>
        <x:v>OK</x:v>
      </x:c>
      <x:c r="F7" s="57" t="str">
        <x:v>0.001 tonf</x:v>
      </x:c>
      <x:c r="G7" s="57" t="str">
        <x:v>Excel</x:v>
      </x:c>
      <x:c r="H7" s="58" t="str"/>
    </x:row>
    <x:row r="8">
      <x:c r="A8" s="56" t="str">
        <x:v>ΣF_y - Q0y</x:v>
      </x:c>
      <x:c r="B8" s="57" t="str">
        <x:v>SUM(Fy)-Q0y</x:v>
      </x:c>
      <x:c r="C8" s="163" t="n">
        <x:f>SUM('04_Distribución'!$H$4:$H$8)-'03_Coeficiente_C'!$C$11</x:f>
        <x:v>0</x:v>
      </x:c>
      <x:c r="D8" s="163" t="str">
        <x:f>""</x:f>
      </x:c>
      <x:c r="E8" s="157" t="str">
        <x:f>IF(ABS(C8)&lt;0.001,"OK","REVISAR")</x:f>
        <x:v>OK</x:v>
      </x:c>
      <x:c r="F8" s="57" t="str">
        <x:v>0.001 tonf</x:v>
      </x:c>
      <x:c r="G8" s="57" t="str">
        <x:v>Excel</x:v>
      </x:c>
      <x:c r="H8" s="58" t="str"/>
    </x:row>
    <x:row r="9">
      <x:c r="A9" s="56" t="str">
        <x:v>C raw X vs límites</x:v>
      </x:c>
      <x:c r="B9" s="57" t="str">
        <x:v>C usado = max/min</x:v>
      </x:c>
      <x:c r="C9" s="163" t="n">
        <x:f>'03_Coeficiente_C'!$B$8</x:f>
        <x:v>0.147</x:v>
      </x:c>
      <x:c r="D9" s="163" t="str">
        <x:f>IF('03_Coeficiente_C'!$B$5&gt;'03_Coeficiente_C'!$B$7,"CAP Cmax",IF('03_Coeficiente_C'!$B$5&lt;'03_Coeficiente_C'!$B$6,"SUBE Cmin","C raw"))</x:f>
        <x:v>CAP Cmax</x:v>
      </x:c>
      <x:c r="E9" s="157" t="str">
        <x:f>"OK"</x:f>
        <x:v>OK</x:v>
      </x:c>
      <x:c r="F9" s="57" t="str">
        <x:v>-</x:v>
      </x:c>
      <x:c r="G9" s="57" t="str">
        <x:v>Excel</x:v>
      </x:c>
      <x:c r="H9" s="58" t="str"/>
    </x:row>
    <x:row r="10">
      <x:c r="A10" s="56" t="str">
        <x:v>C raw Y vs límites</x:v>
      </x:c>
      <x:c r="B10" s="57" t="str">
        <x:v>C usado = max/min</x:v>
      </x:c>
      <x:c r="C10" s="163" t="n">
        <x:f>'03_Coeficiente_C'!$C$8</x:f>
        <x:v>0.147</x:v>
      </x:c>
      <x:c r="D10" s="163" t="str">
        <x:f>IF('03_Coeficiente_C'!$C$5&gt;'03_Coeficiente_C'!$C$7,"CAP Cmax",IF('03_Coeficiente_C'!$C$5&lt;'03_Coeficiente_C'!$C$6,"SUBE Cmin","C raw"))</x:f>
        <x:v>CAP Cmax</x:v>
      </x:c>
      <x:c r="E10" s="157" t="str">
        <x:f>"OK"</x:f>
        <x:v>OK</x:v>
      </x:c>
      <x:c r="F10" s="57" t="str">
        <x:v>-</x:v>
      </x:c>
      <x:c r="G10" s="57" t="str">
        <x:v>Excel</x:v>
      </x:c>
      <x:c r="H10" s="58" t="str"/>
    </x:row>
    <x:row r="11">
      <x:c r="A11" s="56" t="str">
        <x:v>Masa modal acumulada X</x:v>
      </x:c>
      <x:c r="B11" s="57" t="str">
        <x:v>Modo 15</x:v>
      </x:c>
      <x:c r="C11" s="163" t="n">
        <x:f>'02_Datos_ETABS'!$J$18</x:f>
        <x:v>1</x:v>
      </x:c>
      <x:c r="D11" s="163" t="str">
        <x:f>""</x:f>
      </x:c>
      <x:c r="E11" s="157" t="str">
        <x:f>IF(C11&gt;=0.9,"OK","REVISAR")</x:f>
        <x:v>OK</x:v>
      </x:c>
      <x:c r="F11" s="57" t="str">
        <x:v>&gt;= 0.90</x:v>
      </x:c>
      <x:c r="G11" s="57" t="str">
        <x:v>ETABS</x:v>
      </x:c>
      <x:c r="H11" s="58" t="str"/>
    </x:row>
    <x:row r="12">
      <x:c r="A12" s="56" t="str">
        <x:v>Masa modal acumulada Y</x:v>
      </x:c>
      <x:c r="B12" s="57" t="str">
        <x:v>Modo 15</x:v>
      </x:c>
      <x:c r="C12" s="163" t="n">
        <x:f>'02_Datos_ETABS'!$K$18</x:f>
        <x:v>1</x:v>
      </x:c>
      <x:c r="D12" s="163" t="str">
        <x:f>""</x:f>
      </x:c>
      <x:c r="E12" s="157" t="str">
        <x:f>IF(C12&gt;=0.9,"OK","REVISAR")</x:f>
        <x:v>OK</x:v>
      </x:c>
      <x:c r="F12" s="57" t="str">
        <x:v>&gt;= 0.90</x:v>
      </x:c>
      <x:c r="G12" s="57" t="str">
        <x:v>ETABS</x:v>
      </x:c>
      <x:c r="H12" s="58" t="str"/>
    </x:row>
    <x:row r="13">
      <x:c r="A13" s="56" t="str">
        <x:v>Masa modal acumulada RZ</x:v>
      </x:c>
      <x:c r="B13" s="57" t="str">
        <x:v>Modo 15</x:v>
      </x:c>
      <x:c r="C13" s="163" t="n">
        <x:f>'02_Datos_ETABS'!$L$18</x:f>
        <x:v>1</x:v>
      </x:c>
      <x:c r="D13" s="163" t="str">
        <x:f>""</x:f>
      </x:c>
      <x:c r="E13" s="157" t="str">
        <x:f>"INFO"</x:f>
        <x:v>INFO</x:v>
      </x:c>
      <x:c r="F13" s="57" t="str">
        <x:v>informativo</x:v>
      </x:c>
      <x:c r="G13" s="57" t="str">
        <x:v>ETABS</x:v>
      </x:c>
      <x:c r="H13" s="58" t="str"/>
    </x:row>
    <x:row r="14">
      <x:c r="A14" s="56" t="str">
        <x:v>Modo Tx* elegido</x:v>
      </x:c>
      <x:c r="B14" s="57" t="str">
        <x:v>Input vs modo max UX</x:v>
      </x:c>
      <x:c r="C14" s="163" t="n">
        <x:f>'01_Inputs'!$B$12</x:f>
        <x:v>0.4042990005374933</x:v>
      </x:c>
      <x:c r="D14" s="163" t="n">
        <x:f>INDEX('02_Datos_ETABS'!$E$4:$E$18,MATCH(MAX('02_Datos_ETABS'!$G$4:$G$18),'02_Datos_ETABS'!$G$4:$G$18,0))</x:f>
        <x:v>2</x:v>
      </x:c>
      <x:c r="E14" s="157" t="str">
        <x:f>IF(ROUND(C14,6)=ROUND(INDEX('02_Datos_ETABS'!$F$4:$F$18,MATCH(D14,'02_Datos_ETABS'!$E$4:$E$18,0)),6),"OK","REVISAR INPUT")</x:f>
        <x:v>OK</x:v>
      </x:c>
      <x:c r="F14" s="57" t="str">
        <x:v>-</x:v>
      </x:c>
      <x:c r="G14" s="57" t="str">
        <x:v>Manual</x:v>
      </x:c>
      <x:c r="H14" s="58" t="str"/>
    </x:row>
    <x:row r="15">
      <x:c r="A15" s="56" t="str">
        <x:v>Modo Ty* elegido</x:v>
      </x:c>
      <x:c r="B15" s="57" t="str">
        <x:v>Input vs modo max UY</x:v>
      </x:c>
      <x:c r="C15" s="163" t="n">
        <x:f>'01_Inputs'!$B$13</x:f>
        <x:v>0.4043241769057849</x:v>
      </x:c>
      <x:c r="D15" s="163" t="n">
        <x:f>INDEX('02_Datos_ETABS'!$E$4:$E$18,MATCH(MAX('02_Datos_ETABS'!$H$4:$H$18),'02_Datos_ETABS'!$H$4:$H$18,0))</x:f>
        <x:v>1</x:v>
      </x:c>
      <x:c r="E15" s="157" t="str">
        <x:f>IF(ROUND(C15,6)=ROUND(INDEX('02_Datos_ETABS'!$F$4:$F$18,MATCH(D15,'02_Datos_ETABS'!$E$4:$E$18,0)),6),"OK","REVISAR INPUT")</x:f>
        <x:v>OK</x:v>
      </x:c>
      <x:c r="F15" s="57" t="str">
        <x:v>-</x:v>
      </x:c>
      <x:c r="G15" s="57" t="str">
        <x:v>Manual</x:v>
      </x:c>
      <x:c r="H15" s="58" t="str"/>
    </x:row>
    <x:row r="16">
      <x:c r="A16" s="56" t="str">
        <x:v>Torsión formulada X</x:v>
      </x:c>
      <x:c r="B16" s="57" t="str">
        <x:v>SUM(Mt_X)</x:v>
      </x:c>
      <x:c r="C16" s="163" t="n">
        <x:f>SUM('04_Distribución'!$K$4:$K$8)</x:f>
        <x:v>1850.5200803380326</x:v>
      </x:c>
      <x:c r="D16" s="163" t="str">
        <x:f>""</x:f>
      </x:c>
      <x:c r="E16" s="157" t="str">
        <x:f>"OK"</x:f>
        <x:v>OK</x:v>
      </x:c>
      <x:c r="F16" s="57" t="str">
        <x:v>informativo</x:v>
      </x:c>
      <x:c r="G16" s="57" t="str">
        <x:v>Excel</x:v>
      </x:c>
      <x:c r="H16" s="58" t="str"/>
    </x:row>
    <x:row r="17">
      <x:c r="A17" s="56" t="str">
        <x:v>Torsión formulada Y</x:v>
      </x:c>
      <x:c r="B17" s="57" t="str">
        <x:v>SUM(Mt_Y)</x:v>
      </x:c>
      <x:c r="C17" s="163" t="n">
        <x:f>SUM('04_Distribución'!$L$4:$L$8)</x:f>
        <x:v>1850.5200803380326</x:v>
      </x:c>
      <x:c r="D17" s="163" t="str">
        <x:f>""</x:f>
      </x:c>
      <x:c r="E17" s="157" t="str">
        <x:f>"OK"</x:f>
        <x:v>OK</x:v>
      </x:c>
      <x:c r="F17" s="57" t="str">
        <x:v>informativo</x:v>
      </x:c>
      <x:c r="G17" s="57" t="str">
        <x:v>Excel</x:v>
      </x:c>
      <x:c r="H17" s="58" t="str"/>
    </x:row>
    <x:row r="18">
      <x:c r="A18" s="56" t="str">
        <x:v>Momento volcante base X</x:v>
      </x:c>
      <x:c r="B18" s="57" t="str">
        <x:v>Mvolc_X nivel basal</x:v>
      </x:c>
      <x:c r="C18" s="163" t="n">
        <x:f>'04_Distribución'!$O$4</x:f>
        <x:v>8825.55730622754</x:v>
      </x:c>
      <x:c r="D18" s="163" t="str">
        <x:f>""</x:f>
      </x:c>
      <x:c r="E18" s="157" t="str">
        <x:f>"OK"</x:f>
        <x:v>OK</x:v>
      </x:c>
      <x:c r="F18" s="57" t="str">
        <x:v>informativo</x:v>
      </x:c>
      <x:c r="G18" s="57" t="str">
        <x:v>Excel</x:v>
      </x:c>
      <x:c r="H18" s="58" t="str"/>
    </x:row>
    <x:row r="19">
      <x:c r="A19" s="59" t="str">
        <x:v>Momento volcante base Y</x:v>
      </x:c>
      <x:c r="B19" s="60" t="str">
        <x:v>Mvolc_Y nivel basal</x:v>
      </x:c>
      <x:c r="C19" s="164" t="n">
        <x:f>'04_Distribución'!$P$4</x:f>
        <x:v>8825.55730622754</x:v>
      </x:c>
      <x:c r="D19" s="164" t="str">
        <x:f>""</x:f>
      </x:c>
      <x:c r="E19" s="158" t="str">
        <x:f>"OK"</x:f>
        <x:v>OK</x:v>
      </x:c>
      <x:c r="F19" s="60" t="str">
        <x:v>informativo</x:v>
      </x:c>
      <x:c r="G19" s="60" t="str">
        <x:v>Excel</x:v>
      </x:c>
      <x:c r="H19" s="61" t="str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9.140625" defaultRowHeight="15"/>
  <x:cols>
    <x:col min="1" max="1" width="24" hidden="0" customWidth="1"/>
    <x:col min="2" max="2" width="30" hidden="0" customWidth="1"/>
    <x:col min="3" max="3" width="72" hidden="0" customWidth="1"/>
    <x:col min="4" max="4" width="12" hidden="0" customWidth="1"/>
    <x:col min="5" max="5" width="40" hidden="0" customWidth="1"/>
  </x:cols>
  <x:sheetData>
    <x:row r="1" ht="24" customHeight="1">
      <x:c r="A1" s="28" t="str">
        <x:v>08 — Trazabilidad clase / norma / modelo</x:v>
      </x:c>
      <x:c r="B1"/>
      <x:c r="C1"/>
      <x:c r="D1"/>
    </x:row>
    <x:row r="2">
      <x:c r="A2"/>
      <x:c r="B2"/>
      <x:c r="C2"/>
      <x:c r="D2"/>
    </x:row>
    <x:row r="3">
      <x:c r="A3" s="178" t="str">
        <x:v>Tema</x:v>
      </x:c>
      <x:c r="B3" s="179" t="str">
        <x:v>Fuente</x:v>
      </x:c>
      <x:c r="C3" s="179" t="str">
        <x:v>Criterio usado</x:v>
      </x:c>
      <x:c r="D3" s="179" t="str">
        <x:v>Estado</x:v>
      </x:c>
      <x:c r="E3" s="180" t="str">
        <x:v>Impacto en Excel/ETABS</x:v>
      </x:c>
    </x:row>
    <x:row r="4">
      <x:c r="A4" s="220" t="str">
        <x:v>Método Edificio 2</x:v>
      </x:c>
      <x:c r="B4" s="221" t="str">
        <x:v>Últimas clases + criterio taller</x:v>
      </x:c>
      <x:c r="C4" s="221" t="str">
        <x:v>Edificio regular de 5 pisos: cierre por método estático equivalente.</x:v>
      </x:c>
      <x:c r="D4" s="221" t="str">
        <x:v>OK</x:v>
      </x:c>
      <x:c r="E4" s="222" t="str">
        <x:v>03-04-05-06</x:v>
      </x:c>
    </x:row>
    <x:row r="5">
      <x:c r="A5" s="220" t="str">
        <x:v>Modal previo</x:v>
      </x:c>
      <x:c r="B5" s="221" t="str">
        <x:v>sismo 14 00:00-03:17</x:v>
      </x:c>
      <x:c r="C5" s="221" t="str">
        <x:v>Aunque no se use modal espectral como cierre, se corre modal para obtener T*.</x:v>
      </x:c>
      <x:c r="D5" s="221" t="str">
        <x:v>OK</x:v>
      </x:c>
      <x:c r="E5" s="222" t="str">
        <x:v>02_Datos_ETABS + 03_Coeficiente_C</x:v>
      </x:c>
    </x:row>
    <x:row r="6">
      <x:c r="A6" s="220" t="str">
        <x:v>15 modos</x:v>
      </x:c>
      <x:c r="B6" s="221" t="str">
        <x:v>sismo 14 24:46-25:20</x:v>
      </x:c>
      <x:c r="C6" s="221" t="str">
        <x:v>Edificio bajo de 5 pisos: considerar los 15 modos.</x:v>
      </x:c>
      <x:c r="D6" s="221" t="str">
        <x:v>OK</x:v>
      </x:c>
      <x:c r="E6" s="222" t="str">
        <x:v>02_Datos_ETABS conserva 15 modos.</x:v>
      </x:c>
    </x:row>
    <x:row r="7">
      <x:c r="A7" s="220" t="str">
        <x:v>Masa sísmica</x:v>
      </x:c>
      <x:c r="B7" s="221" t="str">
        <x:v>sismo 14 25:52-29:04</x:v>
      </x:c>
      <x:c r="C7" s="221" t="str">
        <x:v>PP+TERP+TERT al 100%, SCP al 25%, SCT al 0% para matriz de masa.</x:v>
      </x:c>
      <x:c r="D7" s="221" t="str">
        <x:v>OK</x:v>
      </x:c>
      <x:c r="E7" s="222" t="str">
        <x:v>01_Inputs row 15; no elimina SCT gravitacional.</x:v>
      </x:c>
    </x:row>
    <x:row r="8">
      <x:c r="A8" s="220" t="str">
        <x:v>Corte basal</x:v>
      </x:c>
      <x:c r="B8" s="221" t="str">
        <x:v>NCh433:2026 + clase</x:v>
      </x:c>
      <x:c r="C8" s="221" t="str">
        <x:v>Q0 = C·I·P, independiente en X e Y.</x:v>
      </x:c>
      <x:c r="D8" s="221" t="str">
        <x:v>OK</x:v>
      </x:c>
      <x:c r="E8" s="222" t="str">
        <x:v>03_Coeficiente_C</x:v>
      </x:c>
    </x:row>
    <x:row r="9">
      <x:c r="A9" s="220" t="str">
        <x:v>C límites</x:v>
      </x:c>
      <x:c r="B9" s="221" t="str">
        <x:v>Clase + criterio curso</x:v>
      </x:c>
      <x:c r="C9" s="221" t="str">
        <x:v>C usado = max(Cmin,min(Craw,Cmax)).</x:v>
      </x:c>
      <x:c r="D9" s="221" t="str">
        <x:v>OK</x:v>
      </x:c>
      <x:c r="E9" s="222" t="str">
        <x:v>03_Coeficiente_C</x:v>
      </x:c>
    </x:row>
    <x:row r="10" ht="30">
      <x:c r="A10" s="220" t="str">
        <x:v>Distribución Fk</x:v>
      </x:c>
      <x:c r="B10" s="221" t="str">
        <x:v>NCh433:2026 6.2.5</x:v>
      </x:c>
      <x:c r="C10" s="221" t="str">
        <x:v>Fk = Ak·Pk/sum(Aj·Pj)·Q0 para edificio de hasta 5 niveles.</x:v>
      </x:c>
      <x:c r="D10" s="221" t="str">
        <x:v>OK</x:v>
      </x:c>
      <x:c r="E10" s="222" t="str">
        <x:v>04_Distribución</x:v>
      </x:c>
    </x:row>
    <x:row r="11">
      <x:c r="A11" s="220" t="str">
        <x:v>Torsión accidental</x:v>
      </x:c>
      <x:c r="B11" s="221" t="str">
        <x:v>sismo 14 12:39-14:19</x:v>
      </x:c>
      <x:c r="C11" s="221" t="str">
        <x:v>Mt,k = Fk·ea,k; usar dimensión perpendicular al sismo.</x:v>
      </x:c>
      <x:c r="D11" s="221" t="str">
        <x:v>OK</x:v>
      </x:c>
      <x:c r="E11" s="222" t="str">
        <x:v>04_Distribución K:L</x:v>
      </x:c>
    </x:row>
    <x:row r="12">
      <x:c r="A12" s="220" t="str">
        <x:v>Centro de masa</x:v>
      </x:c>
      <x:c r="B12" s="221" t="str">
        <x:v>sismo 14 19:22-20:12</x:v>
      </x:c>
      <x:c r="C12" s="221" t="str">
        <x:v>EX/EY se aplican en el centro de masa del diafragma, no excéntricas.</x:v>
      </x:c>
      <x:c r="D12" s="221" t="str">
        <x:v>OK</x:v>
      </x:c>
      <x:c r="E12" s="222" t="str">
        <x:v>05_Cargas_ETABS</x:v>
      </x:c>
    </x:row>
    <x:row r="13">
      <x:c r="A13" s="220" t="str">
        <x:v>Momento Mz</x:v>
      </x:c>
      <x:c r="B13" s="221" t="str">
        <x:v>sismo 14 23:22-24:12</x:v>
      </x:c>
      <x:c r="C13" s="221" t="str">
        <x:v>TEX/TEY son momentos alrededor de Z aplicados en CM.</x:v>
      </x:c>
      <x:c r="D13" s="221" t="str">
        <x:v>OK</x:v>
      </x:c>
      <x:c r="E13" s="222" t="str">
        <x:v>05_Cargas_ETABS</x:v>
      </x:c>
    </x:row>
    <x:row r="14">
      <x:c r="A14" s="220" t="str">
        <x:v>Separar fuerzas/torsión</x:v>
      </x:c>
      <x:c r="B14" s="221" t="str">
        <x:v>sismo 14 19:08-19:18</x:v>
      </x:c>
      <x:c r="C14" s="221" t="str">
        <x:v>Conviene ingresar fuerzas y torsiones como patrones separados para combinar signos.</x:v>
      </x:c>
      <x:c r="D14" s="221" t="str">
        <x:v>OK</x:v>
      </x:c>
      <x:c r="E14" s="222" t="str">
        <x:v>05_Cargas_ETABS + 06_Combos</x:v>
      </x:c>
    </x:row>
    <x:row r="15">
      <x:c r="A15" s="220" t="str">
        <x:v>Combinaciones</x:v>
      </x:c>
      <x:c r="B15" s="221" t="str">
        <x:v>sismo 14 29:35-38:10</x:v>
      </x:c>
      <x:c r="C15" s="221" t="str">
        <x:v>Deben ingresarse 19 combinaciones de resistencia.</x:v>
      </x:c>
      <x:c r="D15" s="221" t="str">
        <x:v>OK</x:v>
      </x:c>
      <x:c r="E15" s="222" t="str">
        <x:v>06_Combos_Guía</x:v>
      </x:c>
    </x:row>
    <x:row r="16">
      <x:c r="A16" s="220" t="str">
        <x:v>Drift</x:v>
      </x:c>
      <x:c r="B16" s="221" t="str">
        <x:v>Clases previas + norma</x:v>
      </x:c>
      <x:c r="C16" s="221" t="str">
        <x:v>Drift con combos de servicio E±T, no con combos mayorados.</x:v>
      </x:c>
      <x:c r="D16" s="221" t="str">
        <x:v>OK</x:v>
      </x:c>
      <x:c r="E16" s="222" t="str">
        <x:v>06_Combos_Guía + 10_Controles_ETABS</x:v>
      </x:c>
    </x:row>
    <x:row r="17">
      <x:c r="A17" s="220" t="str">
        <x:v>ETABS no caja negra</x:v>
      </x:c>
      <x:c r="B17" s="221" t="str">
        <x:v>Clase taller</x:v>
      </x:c>
      <x:c r="C17" s="221" t="str">
        <x:v>Se calcula en Excel y se ingresa a ETABS como user loads.</x:v>
      </x:c>
      <x:c r="D17" s="221" t="str">
        <x:v>OK</x:v>
      </x:c>
      <x:c r="E17" s="222" t="str">
        <x:v>05_Cargas_ETABS</x:v>
      </x:c>
    </x:row>
    <x:row r="18">
      <x:c r="A18" s="223" t="str">
        <x:v>Datos editables</x:v>
      </x:c>
      <x:c r="B18" s="224" t="str">
        <x:v>Criterio operativo</x:v>
      </x:c>
      <x:c r="C18" s="224" t="str">
        <x:v>T*, Pk y resultados ETABS se mantienen editables para actualizar el modelo.</x:v>
      </x:c>
      <x:c r="D18" s="224" t="str">
        <x:v>OK</x:v>
      </x:c>
      <x:c r="E18" s="225" t="str">
        <x:v>01_Inputs, 02_Datos_ETABS, 10_Controles_ETABS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9.140625" defaultRowHeight="15"/>
  <x:cols>
    <x:col min="1" max="8" width="18.7109375" customWidth="1"/>
    <x:col min="1" max="1" width="12" hidden="0" customWidth="1"/>
    <x:col min="2" max="2" width="10" hidden="0" customWidth="1"/>
    <x:col min="3" max="3" width="14" hidden="0" customWidth="1"/>
    <x:col min="4" max="4" width="16" hidden="0" customWidth="1"/>
    <x:col min="5" max="5" width="18" hidden="0" customWidth="1"/>
    <x:col min="6" max="6" width="1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4" customHeight="1">
      <x:c r="A1" s="28" t="str">
        <x:v>09 — Datos para gráficos de fuerza, corte y momento</x:v>
      </x:c>
    </x:row>
    <x:row r="3">
      <x:c r="A3" s="178" t="str">
        <x:v>Piso</x:v>
      </x:c>
      <x:c r="B3" s="179" t="str">
        <x:v>Z [m]</x:v>
      </x:c>
      <x:c r="C3" s="179" t="str">
        <x:v>F_x</x:v>
      </x:c>
      <x:c r="D3" s="179" t="str">
        <x:v>Vx acumulado</x:v>
      </x:c>
      <x:c r="E3" s="179" t="str">
        <x:v>Mvolc_X</x:v>
      </x:c>
      <x:c r="F3" s="180" t="str">
        <x:v>Mt_X</x:v>
      </x:c>
    </x:row>
    <x:row r="4">
      <x:c r="A4" s="56" t="str">
        <x:f>'04_Distribución'!A4</x:f>
        <x:v>Story1</x:v>
      </x:c>
      <x:c r="B4" s="57" t="n">
        <x:f>'04_Distribución'!B4</x:f>
        <x:v>3.5</x:v>
      </x:c>
      <x:c r="C4" s="196" t="n">
        <x:f>'04_Distribución'!G4</x:f>
        <x:v>102.88575626975627</x:v>
      </x:c>
      <x:c r="D4" s="196" t="n">
        <x:f>'04_Distribución'!M4</x:f>
        <x:v>779.2886221680001</x:v>
      </x:c>
      <x:c r="E4" s="196" t="n">
        <x:f>'04_Distribución'!O4</x:f>
        <x:v>8825.55730622754</x:v>
      </x:c>
      <x:c r="F4" s="232" t="n">
        <x:f>'04_Distribución'!K4</x:f>
        <x:v>75.50486952054695</x:v>
      </x:c>
    </x:row>
    <x:row r="5">
      <x:c r="A5" s="56" t="str">
        <x:f>'04_Distribución'!A5</x:f>
        <x:v>Story2</x:v>
      </x:c>
      <x:c r="B5" s="57" t="n">
        <x:f>'04_Distribución'!B5</x:f>
        <x:v>6.5</x:v>
      </x:c>
      <x:c r="C5" s="196" t="n">
        <x:f>'04_Distribución'!G5</x:f>
        <x:v>99.16182691873196</x:v>
      </x:c>
      <x:c r="D5" s="196" t="n">
        <x:f>'04_Distribución'!M5</x:f>
        <x:v>676.4028658982438</x:v>
      </x:c>
      <x:c r="E5" s="196" t="n">
        <x:f>'04_Distribución'!O5</x:f>
        <x:v>6098.0471286395405</x:v>
      </x:c>
      <x:c r="F5" s="232" t="n">
        <x:f>'04_Distribución'!K5</x:f>
        <x:v>135.14797378440082</x:v>
      </x:c>
    </x:row>
    <x:row r="6">
      <x:c r="A6" s="56" t="str">
        <x:f>'04_Distribución'!A6</x:f>
        <x:v>Story3</x:v>
      </x:c>
      <x:c r="B6" s="57" t="n">
        <x:f>'04_Distribución'!B6</x:f>
        <x:v>9.5</x:v>
      </x:c>
      <x:c r="C6" s="196" t="n">
        <x:f>'04_Distribución'!G6</x:f>
        <x:v>113.65970051891094</x:v>
      </x:c>
      <x:c r="D6" s="196" t="n">
        <x:f>'04_Distribución'!M6</x:f>
        <x:v>577.2410389795118</x:v>
      </x:c>
      <x:c r="E6" s="196" t="n">
        <x:f>'04_Distribución'!O6</x:f>
        <x:v>4068.8385309448086</x:v>
      </x:c>
      <x:c r="F6" s="232" t="n">
        <x:f>'04_Distribución'!K6</x:f>
        <x:v>226.40279054976614</x:v>
      </x:c>
    </x:row>
    <x:row r="7">
      <x:c r="A7" s="56" t="str">
        <x:f>'04_Distribución'!A7</x:f>
        <x:v>Story4</x:v>
      </x:c>
      <x:c r="B7" s="57" t="n">
        <x:f>'04_Distribución'!B7</x:f>
        <x:v>12.5</x:v>
      </x:c>
      <x:c r="C7" s="196" t="n">
        <x:f>'04_Distribución'!G7</x:f>
        <x:v>148.12420558577745</x:v>
      </x:c>
      <x:c r="D7" s="196" t="n">
        <x:f>'04_Distribución'!M7</x:f>
        <x:v>463.58133846060093</x:v>
      </x:c>
      <x:c r="E7" s="196" t="n">
        <x:f>'04_Distribución'!O7</x:f>
        <x:v>2337.115414006273</x:v>
      </x:c>
      <x:c r="F7" s="232" t="n">
        <x:f>'04_Distribución'!K7</x:f>
        <x:v>388.2287646401425</x:v>
      </x:c>
    </x:row>
    <x:row r="8">
      <x:c r="A8" s="59" t="str">
        <x:f>'04_Distribución'!A8</x:f>
        <x:v>Story5</x:v>
      </x:c>
      <x:c r="B8" s="60" t="n">
        <x:f>'04_Distribución'!B8</x:f>
        <x:v>15.5</x:v>
      </x:c>
      <x:c r="C8" s="198" t="n">
        <x:f>'04_Distribución'!G8</x:f>
        <x:v>315.45713287482346</x:v>
      </x:c>
      <x:c r="D8" s="198" t="n">
        <x:f>'04_Distribución'!M8</x:f>
        <x:v>315.45713287482346</x:v>
      </x:c>
      <x:c r="E8" s="198" t="n">
        <x:f>'04_Distribución'!O8</x:f>
        <x:v>946.3713986244704</x:v>
      </x:c>
      <x:c r="F8" s="233" t="n">
        <x:f>'04_Distribución'!K8</x:f>
        <x:v>1025.2356818431763</x:v>
      </x:c>
    </x:row>
  </x:sheetData>
  <x:mergeCells>
    <x:mergeCell ref="A1:K1"/>
  </x:mergeCells>
  <x:pageMargins left="0.7" right="0.7" top="0.75" bottom="0.75" header="0.3" footer="0.3"/>
  <x:drawing xmlns:r="http://schemas.openxmlformats.org/officeDocument/2006/relationships" r:id="Rca97212dda9a4a4f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40" hidden="0" customWidth="1"/>
    <x:col min="8" max="8" width="12" hidden="0" customWidth="1"/>
    <x:col min="9" max="9" width="12" hidden="0" customWidth="1"/>
    <x:col min="10" max="10" width="16" hidden="0" customWidth="1"/>
    <x:col min="11" max="11" width="16" hidden="0" customWidth="1"/>
    <x:col min="12" max="12" width="14" hidden="0" customWidth="1"/>
    <x:col min="13" max="13" width="14" hidden="0" customWidth="1"/>
    <x:col min="14" max="14" width="44" hidden="0" customWidth="1"/>
  </x:cols>
  <x:sheetData>
    <x:row r="1" ht="24" customHeight="1">
      <x:c r="A1" s="28" t="str">
        <x:v>10 — Controles a poblar desde ETABS post-run</x:v>
      </x:c>
    </x:row>
    <x:row r="3">
      <x:c r="A3" s="178" t="str">
        <x:v>Control</x:v>
      </x:c>
      <x:c r="B3" s="179" t="str">
        <x:v>Caso</x:v>
      </x:c>
      <x:c r="C3" s="179" t="str">
        <x:v>Esperado Excel</x:v>
      </x:c>
      <x:c r="D3" s="179" t="str">
        <x:v>ETABS pegado</x:v>
      </x:c>
      <x:c r="E3" s="179" t="str">
        <x:v>Diferencia</x:v>
      </x:c>
      <x:c r="F3" s="179" t="str">
        <x:v>Estado</x:v>
      </x:c>
      <x:c r="G3" s="179" t="str">
        <x:v>Nota</x:v>
      </x:c>
      <x:c r="H3" s="54"/>
      <x:c r="I3" s="54"/>
      <x:c r="J3" s="54"/>
      <x:c r="K3" s="54"/>
      <x:c r="L3" s="54"/>
      <x:c r="M3" s="54"/>
      <x:c r="N3" s="55"/>
    </x:row>
    <x:row r="4">
      <x:c r="A4" s="56" t="str">
        <x:v>Base reaction</x:v>
      </x:c>
      <x:c r="B4" s="57" t="str">
        <x:v>EX</x:v>
      </x:c>
      <x:c r="C4" s="196" t="n">
        <x:f>'03_Coeficiente_C'!B11</x:f>
        <x:v>779.2886221680001</x:v>
      </x:c>
      <x:c r="D4" s="238" t="str"/>
      <x:c r="E4" s="196" t="str">
        <x:f>IF(D4="","",ABS(D4)-C4)</x:f>
      </x:c>
      <x:c r="F4" s="196" t="str">
        <x:f>IF(D4="","PENDIENTE",IF(ABS(E4)&lt;0.01,"OK","REVISAR"))</x:f>
        <x:v>PENDIENTE</x:v>
      </x:c>
      <x:c r="G4" s="196" t="str">
        <x:v>Pegar reacción basal absoluta de ETABS para EX.</x:v>
      </x:c>
      <x:c r="H4" s="196"/>
      <x:c r="I4" s="196"/>
      <x:c r="J4" s="196"/>
      <x:c r="K4" s="196"/>
      <x:c r="L4" s="196"/>
      <x:c r="M4" s="196"/>
      <x:c r="N4" s="58"/>
    </x:row>
    <x:row r="5">
      <x:c r="A5" s="56" t="str">
        <x:v>Base reaction</x:v>
      </x:c>
      <x:c r="B5" s="57" t="str">
        <x:v>EY</x:v>
      </x:c>
      <x:c r="C5" s="196" t="n">
        <x:f>'03_Coeficiente_C'!C11</x:f>
        <x:v>779.2886221680001</x:v>
      </x:c>
      <x:c r="D5" s="238" t="str"/>
      <x:c r="E5" s="196" t="str">
        <x:f>IF(D5="","",ABS(D5)-C5)</x:f>
      </x:c>
      <x:c r="F5" s="196" t="str">
        <x:f>IF(D5="","PENDIENTE",IF(ABS(E5)&lt;0.01,"OK","REVISAR"))</x:f>
        <x:v>PENDIENTE</x:v>
      </x:c>
      <x:c r="G5" s="196" t="str">
        <x:v>Pegar reacción basal absoluta de ETABS para EY.</x:v>
      </x:c>
      <x:c r="H5" s="196"/>
      <x:c r="I5" s="196"/>
      <x:c r="J5" s="196"/>
      <x:c r="K5" s="196"/>
      <x:c r="L5" s="196"/>
      <x:c r="M5" s="196"/>
      <x:c r="N5" s="58"/>
    </x:row>
    <x:row r="6">
      <x:c r="A6" s="56" t="str">
        <x:v>Torsión total</x:v>
      </x:c>
      <x:c r="B6" s="57" t="str">
        <x:v>TEX</x:v>
      </x:c>
      <x:c r="C6" s="196" t="n">
        <x:f>SUM('04_Distribución'!K4:K8)</x:f>
        <x:v>1850.5200803380326</x:v>
      </x:c>
      <x:c r="D6" s="238" t="str"/>
      <x:c r="E6" s="196" t="str">
        <x:f>IF(D6="","",ABS(D6)-C6)</x:f>
      </x:c>
      <x:c r="F6" s="196" t="str">
        <x:f>IF(D6="","PENDIENTE",IF(ABS(E6)&lt;0.01,"OK","REVISAR"))</x:f>
        <x:v>PENDIENTE</x:v>
      </x:c>
      <x:c r="G6" s="196" t="str">
        <x:v>Pegar momento total Mz absoluto si lo revisan en reacciones.</x:v>
      </x:c>
      <x:c r="H6" s="196"/>
      <x:c r="I6" s="196"/>
      <x:c r="J6" s="196"/>
      <x:c r="K6" s="196"/>
      <x:c r="L6" s="196"/>
      <x:c r="M6" s="196"/>
      <x:c r="N6" s="58"/>
    </x:row>
    <x:row r="7">
      <x:c r="A7" s="56" t="str">
        <x:v>Torsión total</x:v>
      </x:c>
      <x:c r="B7" s="57" t="str">
        <x:v>TEY</x:v>
      </x:c>
      <x:c r="C7" s="196" t="n">
        <x:f>SUM('04_Distribución'!L4:L8)</x:f>
        <x:v>1850.5200803380326</x:v>
      </x:c>
      <x:c r="D7" s="238" t="str"/>
      <x:c r="E7" s="196" t="str">
        <x:f>IF(D7="","",ABS(D7)-C7)</x:f>
      </x:c>
      <x:c r="F7" s="196" t="str">
        <x:f>IF(D7="","PENDIENTE",IF(ABS(E7)&lt;0.01,"OK","REVISAR"))</x:f>
        <x:v>PENDIENTE</x:v>
      </x:c>
      <x:c r="G7" s="196" t="str">
        <x:v>Pegar momento total Mz absoluto si lo revisan en reacciones.</x:v>
      </x:c>
      <x:c r="H7" s="196"/>
      <x:c r="I7" s="196"/>
      <x:c r="J7" s="196"/>
      <x:c r="K7" s="196"/>
      <x:c r="L7" s="196"/>
      <x:c r="M7" s="196"/>
      <x:c r="N7" s="58"/>
    </x:row>
    <x:row r="8">
      <x:c r="A8" s="56"/>
      <x:c r="B8" s="57"/>
      <x:c r="C8" s="196"/>
      <x:c r="D8" s="196"/>
      <x:c r="E8" s="196"/>
      <x:c r="F8" s="196"/>
      <x:c r="G8" s="196"/>
      <x:c r="H8" s="196"/>
      <x:c r="I8" s="196"/>
      <x:c r="J8" s="196"/>
      <x:c r="K8" s="196"/>
      <x:c r="L8" s="196"/>
      <x:c r="M8" s="196"/>
      <x:c r="N8" s="58"/>
    </x:row>
    <x:row r="9">
      <x:c r="A9" s="56"/>
      <x:c r="B9" s="57"/>
      <x:c r="C9" s="196"/>
      <x:c r="D9" s="196"/>
      <x:c r="E9" s="196"/>
      <x:c r="F9" s="196"/>
      <x:c r="G9" s="196"/>
      <x:c r="H9" s="196"/>
      <x:c r="I9" s="196"/>
      <x:c r="J9" s="196"/>
      <x:c r="K9" s="196"/>
      <x:c r="L9" s="196"/>
      <x:c r="M9" s="196"/>
      <x:c r="N9" s="58"/>
    </x:row>
    <x:row r="10">
      <x:c r="A10" s="181" t="str">
        <x:v>Story forces / corte acumulado</x:v>
      </x:c>
      <x:c r="B10" s="182"/>
      <x:c r="C10" s="197"/>
      <x:c r="D10" s="197"/>
      <x:c r="E10" s="197"/>
      <x:c r="F10" s="197"/>
      <x:c r="G10" s="197"/>
      <x:c r="H10" s="197"/>
      <x:c r="I10" s="197"/>
      <x:c r="J10" s="197"/>
      <x:c r="K10" s="197"/>
      <x:c r="L10" s="197"/>
      <x:c r="M10" s="197"/>
      <x:c r="N10" s="183"/>
    </x:row>
    <x:row r="11">
      <x:c r="A11" s="204" t="str">
        <x:v>Piso</x:v>
      </x:c>
      <x:c r="B11" s="205" t="str">
        <x:v>Vx Excel</x:v>
      </x:c>
      <x:c r="C11" s="239" t="str">
        <x:v>Vx ETABS abs</x:v>
      </x:c>
      <x:c r="D11" s="239" t="str">
        <x:v>Diff X</x:v>
      </x:c>
      <x:c r="E11" s="239" t="str">
        <x:v>Estado X</x:v>
      </x:c>
      <x:c r="F11" s="239" t="str">
        <x:v>Vy Excel</x:v>
      </x:c>
      <x:c r="G11" s="239" t="str">
        <x:v>Vy ETABS abs</x:v>
      </x:c>
      <x:c r="H11" s="239" t="str">
        <x:v>Diff Y</x:v>
      </x:c>
      <x:c r="I11" s="239" t="str">
        <x:v>Estado Y</x:v>
      </x:c>
      <x:c r="J11" s="239" t="str">
        <x:v>Mvolc X Excel</x:v>
      </x:c>
      <x:c r="K11" s="239" t="str">
        <x:v>Mvolc X ETABS</x:v>
      </x:c>
      <x:c r="L11" s="239" t="str">
        <x:v>Diff Mx</x:v>
      </x:c>
      <x:c r="M11" s="239" t="str">
        <x:v>Estado Mx</x:v>
      </x:c>
      <x:c r="N11" s="208" t="str">
        <x:v>Nota</x:v>
      </x:c>
    </x:row>
    <x:row r="12">
      <x:c r="A12" s="56" t="str">
        <x:f>'04_Distribución'!A4</x:f>
        <x:v>Story1</x:v>
      </x:c>
      <x:c r="B12" s="57" t="n">
        <x:f>'04_Distribución'!M4</x:f>
        <x:v>779.2886221680001</x:v>
      </x:c>
      <x:c r="C12" s="238" t="str"/>
      <x:c r="D12" s="196" t="str">
        <x:f>IF(C12="","",C12-B12)</x:f>
      </x:c>
      <x:c r="E12" s="196" t="str">
        <x:f>IF(C12="","PENDIENTE",IF(ABS(D12)&lt;0.01,"OK","REVISAR"))</x:f>
        <x:v>PENDIENTE</x:v>
      </x:c>
      <x:c r="F12" s="196" t="n">
        <x:f>'04_Distribución'!N4</x:f>
        <x:v>779.2886221680001</x:v>
      </x:c>
      <x:c r="G12" s="238" t="str"/>
      <x:c r="H12" s="196" t="str">
        <x:f>IF(G12="","",G12-F12)</x:f>
      </x:c>
      <x:c r="I12" s="196" t="str">
        <x:f>IF(G12="","PENDIENTE",IF(ABS(H12)&lt;0.01,"OK","REVISAR"))</x:f>
        <x:v>PENDIENTE</x:v>
      </x:c>
      <x:c r="J12" s="196" t="n">
        <x:f>'04_Distribución'!O4</x:f>
        <x:v>8825.55730622754</x:v>
      </x:c>
      <x:c r="K12" s="238" t="str"/>
      <x:c r="L12" s="196" t="str">
        <x:f>IF(K12="","",K12-J12)</x:f>
      </x:c>
      <x:c r="M12" s="196" t="str">
        <x:f>IF(K12="","PENDIENTE",IF(ABS(L12)&lt;0.01,"OK","REVISAR"))</x:f>
        <x:v>PENDIENTE</x:v>
      </x:c>
      <x:c r="N12" s="58" t="str">
        <x:v>Pegar valores de ETABS con signo consistente o absoluto.</x:v>
      </x:c>
    </x:row>
    <x:row r="13">
      <x:c r="A13" s="56" t="str">
        <x:f>'04_Distribución'!A5</x:f>
        <x:v>Story2</x:v>
      </x:c>
      <x:c r="B13" s="57" t="n">
        <x:f>'04_Distribución'!M5</x:f>
        <x:v>676.4028658982438</x:v>
      </x:c>
      <x:c r="C13" s="238" t="str"/>
      <x:c r="D13" s="196" t="str">
        <x:f>IF(C13="","",C13-B13)</x:f>
      </x:c>
      <x:c r="E13" s="196" t="str">
        <x:f>IF(C13="","PENDIENTE",IF(ABS(D13)&lt;0.01,"OK","REVISAR"))</x:f>
        <x:v>PENDIENTE</x:v>
      </x:c>
      <x:c r="F13" s="196" t="n">
        <x:f>'04_Distribución'!N5</x:f>
        <x:v>676.4028658982438</x:v>
      </x:c>
      <x:c r="G13" s="238" t="str"/>
      <x:c r="H13" s="196" t="str">
        <x:f>IF(G13="","",G13-F13)</x:f>
      </x:c>
      <x:c r="I13" s="196" t="str">
        <x:f>IF(G13="","PENDIENTE",IF(ABS(H13)&lt;0.01,"OK","REVISAR"))</x:f>
        <x:v>PENDIENTE</x:v>
      </x:c>
      <x:c r="J13" s="196" t="n">
        <x:f>'04_Distribución'!O5</x:f>
        <x:v>6098.0471286395405</x:v>
      </x:c>
      <x:c r="K13" s="238" t="str"/>
      <x:c r="L13" s="196" t="str">
        <x:f>IF(K13="","",K13-J13)</x:f>
      </x:c>
      <x:c r="M13" s="196" t="str">
        <x:f>IF(K13="","PENDIENTE",IF(ABS(L13)&lt;0.01,"OK","REVISAR"))</x:f>
        <x:v>PENDIENTE</x:v>
      </x:c>
      <x:c r="N13" s="58" t="str">
        <x:v>Pegar valores de ETABS con signo consistente o absoluto.</x:v>
      </x:c>
    </x:row>
    <x:row r="14">
      <x:c r="A14" s="56" t="str">
        <x:f>'04_Distribución'!A6</x:f>
        <x:v>Story3</x:v>
      </x:c>
      <x:c r="B14" s="57" t="n">
        <x:f>'04_Distribución'!M6</x:f>
        <x:v>577.2410389795118</x:v>
      </x:c>
      <x:c r="C14" s="238" t="str"/>
      <x:c r="D14" s="196" t="str">
        <x:f>IF(C14="","",C14-B14)</x:f>
      </x:c>
      <x:c r="E14" s="196" t="str">
        <x:f>IF(C14="","PENDIENTE",IF(ABS(D14)&lt;0.01,"OK","REVISAR"))</x:f>
        <x:v>PENDIENTE</x:v>
      </x:c>
      <x:c r="F14" s="196" t="n">
        <x:f>'04_Distribución'!N6</x:f>
        <x:v>577.2410389795118</x:v>
      </x:c>
      <x:c r="G14" s="238" t="str"/>
      <x:c r="H14" s="196" t="str">
        <x:f>IF(G14="","",G14-F14)</x:f>
      </x:c>
      <x:c r="I14" s="196" t="str">
        <x:f>IF(G14="","PENDIENTE",IF(ABS(H14)&lt;0.01,"OK","REVISAR"))</x:f>
        <x:v>PENDIENTE</x:v>
      </x:c>
      <x:c r="J14" s="196" t="n">
        <x:f>'04_Distribución'!O6</x:f>
        <x:v>4068.8385309448086</x:v>
      </x:c>
      <x:c r="K14" s="238" t="str"/>
      <x:c r="L14" s="196" t="str">
        <x:f>IF(K14="","",K14-J14)</x:f>
      </x:c>
      <x:c r="M14" s="196" t="str">
        <x:f>IF(K14="","PENDIENTE",IF(ABS(L14)&lt;0.01,"OK","REVISAR"))</x:f>
        <x:v>PENDIENTE</x:v>
      </x:c>
      <x:c r="N14" s="58" t="str">
        <x:v>Pegar valores de ETABS con signo consistente o absoluto.</x:v>
      </x:c>
    </x:row>
    <x:row r="15">
      <x:c r="A15" s="56" t="str">
        <x:f>'04_Distribución'!A7</x:f>
        <x:v>Story4</x:v>
      </x:c>
      <x:c r="B15" s="57" t="n">
        <x:f>'04_Distribución'!M7</x:f>
        <x:v>463.58133846060093</x:v>
      </x:c>
      <x:c r="C15" s="238" t="str"/>
      <x:c r="D15" s="196" t="str">
        <x:f>IF(C15="","",C15-B15)</x:f>
      </x:c>
      <x:c r="E15" s="196" t="str">
        <x:f>IF(C15="","PENDIENTE",IF(ABS(D15)&lt;0.01,"OK","REVISAR"))</x:f>
        <x:v>PENDIENTE</x:v>
      </x:c>
      <x:c r="F15" s="196" t="n">
        <x:f>'04_Distribución'!N7</x:f>
        <x:v>463.58133846060093</x:v>
      </x:c>
      <x:c r="G15" s="238" t="str"/>
      <x:c r="H15" s="196" t="str">
        <x:f>IF(G15="","",G15-F15)</x:f>
      </x:c>
      <x:c r="I15" s="196" t="str">
        <x:f>IF(G15="","PENDIENTE",IF(ABS(H15)&lt;0.01,"OK","REVISAR"))</x:f>
        <x:v>PENDIENTE</x:v>
      </x:c>
      <x:c r="J15" s="196" t="n">
        <x:f>'04_Distribución'!O7</x:f>
        <x:v>2337.115414006273</x:v>
      </x:c>
      <x:c r="K15" s="238" t="str"/>
      <x:c r="L15" s="196" t="str">
        <x:f>IF(K15="","",K15-J15)</x:f>
      </x:c>
      <x:c r="M15" s="196" t="str">
        <x:f>IF(K15="","PENDIENTE",IF(ABS(L15)&lt;0.01,"OK","REVISAR"))</x:f>
        <x:v>PENDIENTE</x:v>
      </x:c>
      <x:c r="N15" s="58" t="str">
        <x:v>Pegar valores de ETABS con signo consistente o absoluto.</x:v>
      </x:c>
    </x:row>
    <x:row r="16">
      <x:c r="A16" s="56" t="str">
        <x:f>'04_Distribución'!A8</x:f>
        <x:v>Story5</x:v>
      </x:c>
      <x:c r="B16" s="57" t="n">
        <x:f>'04_Distribución'!M8</x:f>
        <x:v>315.45713287482346</x:v>
      </x:c>
      <x:c r="C16" s="238" t="str"/>
      <x:c r="D16" s="196" t="str">
        <x:f>IF(C16="","",C16-B16)</x:f>
      </x:c>
      <x:c r="E16" s="196" t="str">
        <x:f>IF(C16="","PENDIENTE",IF(ABS(D16)&lt;0.01,"OK","REVISAR"))</x:f>
        <x:v>PENDIENTE</x:v>
      </x:c>
      <x:c r="F16" s="196" t="n">
        <x:f>'04_Distribución'!N8</x:f>
        <x:v>315.45713287482346</x:v>
      </x:c>
      <x:c r="G16" s="238" t="str"/>
      <x:c r="H16" s="196" t="str">
        <x:f>IF(G16="","",G16-F16)</x:f>
      </x:c>
      <x:c r="I16" s="196" t="str">
        <x:f>IF(G16="","PENDIENTE",IF(ABS(H16)&lt;0.01,"OK","REVISAR"))</x:f>
        <x:v>PENDIENTE</x:v>
      </x:c>
      <x:c r="J16" s="196" t="n">
        <x:f>'04_Distribución'!O8</x:f>
        <x:v>946.3713986244704</x:v>
      </x:c>
      <x:c r="K16" s="238" t="str"/>
      <x:c r="L16" s="196" t="str">
        <x:f>IF(K16="","",K16-J16)</x:f>
      </x:c>
      <x:c r="M16" s="196" t="str">
        <x:f>IF(K16="","PENDIENTE",IF(ABS(L16)&lt;0.01,"OK","REVISAR"))</x:f>
        <x:v>PENDIENTE</x:v>
      </x:c>
      <x:c r="N16" s="58" t="str">
        <x:v>Pegar valores de ETABS con signo consistente o absoluto.</x:v>
      </x:c>
    </x:row>
    <x:row r="17">
      <x:c r="A17" s="56"/>
      <x:c r="B17" s="57"/>
      <x:c r="C17" s="196"/>
      <x:c r="D17" s="196"/>
      <x:c r="E17" s="196"/>
      <x:c r="F17" s="196"/>
      <x:c r="G17" s="196"/>
      <x:c r="H17" s="196"/>
      <x:c r="I17" s="196"/>
      <x:c r="J17" s="196"/>
      <x:c r="K17" s="196"/>
      <x:c r="L17" s="196"/>
      <x:c r="M17" s="196"/>
      <x:c r="N17" s="58"/>
    </x:row>
    <x:row r="18">
      <x:c r="A18" s="56"/>
      <x:c r="B18" s="57"/>
      <x:c r="C18" s="196"/>
      <x:c r="D18" s="196"/>
      <x:c r="E18" s="196"/>
      <x:c r="F18" s="196"/>
      <x:c r="G18" s="196"/>
      <x:c r="H18" s="196"/>
      <x:c r="I18" s="196"/>
      <x:c r="J18" s="196"/>
      <x:c r="K18" s="196"/>
      <x:c r="L18" s="196"/>
      <x:c r="M18" s="196"/>
      <x:c r="N18" s="58"/>
    </x:row>
    <x:row r="19">
      <x:c r="A19" s="56"/>
      <x:c r="B19" s="57"/>
      <x:c r="C19" s="196"/>
      <x:c r="D19" s="196"/>
      <x:c r="E19" s="196"/>
      <x:c r="F19" s="196"/>
      <x:c r="G19" s="196"/>
      <x:c r="H19" s="196"/>
      <x:c r="I19" s="196"/>
      <x:c r="J19" s="196"/>
      <x:c r="K19" s="196"/>
      <x:c r="L19" s="196"/>
      <x:c r="M19" s="196"/>
      <x:c r="N19" s="58"/>
    </x:row>
    <x:row r="20">
      <x:c r="A20" s="181" t="str">
        <x:v>Drift / deformaciones a completar desde ETABS</x:v>
      </x:c>
      <x:c r="B20" s="182"/>
      <x:c r="C20" s="197"/>
      <x:c r="D20" s="197"/>
      <x:c r="E20" s="197"/>
      <x:c r="F20" s="197"/>
      <x:c r="G20" s="197"/>
      <x:c r="H20" s="197"/>
      <x:c r="I20" s="197"/>
      <x:c r="J20" s="197"/>
      <x:c r="K20" s="197"/>
      <x:c r="L20" s="197"/>
      <x:c r="M20" s="197"/>
      <x:c r="N20" s="183"/>
    </x:row>
    <x:row r="21">
      <x:c r="A21" s="204" t="str">
        <x:v>Combo</x:v>
      </x:c>
      <x:c r="B21" s="205" t="str">
        <x:v>Piso crítico</x:v>
      </x:c>
      <x:c r="C21" s="239" t="str">
        <x:v>Drift CM</x:v>
      </x:c>
      <x:c r="D21" s="239" t="str">
        <x:v>Drift max</x:v>
      </x:c>
      <x:c r="E21" s="239" t="str">
        <x:v>Max-CM</x:v>
      </x:c>
      <x:c r="F21" s="239" t="str">
        <x:v>Límite CM</x:v>
      </x:c>
      <x:c r="G21" s="239" t="str">
        <x:v>Límite Max-CM</x:v>
      </x:c>
      <x:c r="H21" s="239" t="str">
        <x:v>Estado CM</x:v>
      </x:c>
      <x:c r="I21" s="239" t="str">
        <x:v>Estado torsión</x:v>
      </x:c>
      <x:c r="J21" s="239" t="str">
        <x:v>Nota</x:v>
      </x:c>
      <x:c r="K21" s="196"/>
      <x:c r="L21" s="196"/>
      <x:c r="M21" s="196"/>
      <x:c r="N21" s="58"/>
    </x:row>
    <x:row r="22">
      <x:c r="A22" s="236"/>
      <x:c r="B22" s="120"/>
      <x:c r="C22" s="238"/>
      <x:c r="D22" s="238"/>
      <x:c r="E22" s="196" t="str">
        <x:f>IF(OR(C22="",D22=""),"",D22-C22)</x:f>
      </x:c>
      <x:c r="F22" s="196" t="n">
        <x:f>'01_Inputs'!$B$22</x:f>
        <x:v>0.002</x:v>
      </x:c>
      <x:c r="G22" s="196" t="n">
        <x:f>'01_Inputs'!$B$23</x:f>
        <x:v>0.001</x:v>
      </x:c>
      <x:c r="H22" s="196" t="str">
        <x:f>IF(C22="","PENDIENTE",IF(C22&lt;=F22,"OK","REVISAR"))</x:f>
        <x:v>PENDIENTE</x:v>
      </x:c>
      <x:c r="I22" s="196" t="str">
        <x:f>IF(E22="","PENDIENTE",IF(E22&lt;=G22,"OK","REVISAR"))</x:f>
        <x:v>PENDIENTE</x:v>
      </x:c>
      <x:c r="J22" s="196" t="str">
        <x:v>Pegar combos DRIFT_*; no usar 1.4E.</x:v>
      </x:c>
      <x:c r="K22" s="196"/>
      <x:c r="L22" s="196"/>
      <x:c r="M22" s="196"/>
      <x:c r="N22" s="58"/>
    </x:row>
    <x:row r="23">
      <x:c r="A23" s="236"/>
      <x:c r="B23" s="120"/>
      <x:c r="C23" s="238"/>
      <x:c r="D23" s="238"/>
      <x:c r="E23" s="196" t="str">
        <x:f>IF(OR(C23="",D23=""),"",D23-C23)</x:f>
      </x:c>
      <x:c r="F23" s="196" t="n">
        <x:f>'01_Inputs'!$B$22</x:f>
        <x:v>0.002</x:v>
      </x:c>
      <x:c r="G23" s="196" t="n">
        <x:f>'01_Inputs'!$B$23</x:f>
        <x:v>0.001</x:v>
      </x:c>
      <x:c r="H23" s="196" t="str">
        <x:f>IF(C23="","PENDIENTE",IF(C23&lt;=F23,"OK","REVISAR"))</x:f>
        <x:v>PENDIENTE</x:v>
      </x:c>
      <x:c r="I23" s="196" t="str">
        <x:f>IF(E23="","PENDIENTE",IF(E23&lt;=G23,"OK","REVISAR"))</x:f>
        <x:v>PENDIENTE</x:v>
      </x:c>
      <x:c r="J23" s="196" t="str">
        <x:v>Pegar combos DRIFT_*; no usar 1.4E.</x:v>
      </x:c>
      <x:c r="K23" s="196"/>
      <x:c r="L23" s="196"/>
      <x:c r="M23" s="196"/>
      <x:c r="N23" s="58"/>
    </x:row>
    <x:row r="24">
      <x:c r="A24" s="236"/>
      <x:c r="B24" s="120"/>
      <x:c r="C24" s="238"/>
      <x:c r="D24" s="238"/>
      <x:c r="E24" s="196" t="str">
        <x:f>IF(OR(C24="",D24=""),"",D24-C24)</x:f>
      </x:c>
      <x:c r="F24" s="196" t="n">
        <x:f>'01_Inputs'!$B$22</x:f>
        <x:v>0.002</x:v>
      </x:c>
      <x:c r="G24" s="196" t="n">
        <x:f>'01_Inputs'!$B$23</x:f>
        <x:v>0.001</x:v>
      </x:c>
      <x:c r="H24" s="196" t="str">
        <x:f>IF(C24="","PENDIENTE",IF(C24&lt;=F24,"OK","REVISAR"))</x:f>
        <x:v>PENDIENTE</x:v>
      </x:c>
      <x:c r="I24" s="196" t="str">
        <x:f>IF(E24="","PENDIENTE",IF(E24&lt;=G24,"OK","REVISAR"))</x:f>
        <x:v>PENDIENTE</x:v>
      </x:c>
      <x:c r="J24" s="196" t="str">
        <x:v>Pegar combos DRIFT_*; no usar 1.4E.</x:v>
      </x:c>
      <x:c r="K24" s="196"/>
      <x:c r="L24" s="196"/>
      <x:c r="M24" s="196"/>
      <x:c r="N24" s="58"/>
    </x:row>
    <x:row r="25">
      <x:c r="A25" s="236"/>
      <x:c r="B25" s="120"/>
      <x:c r="C25" s="238"/>
      <x:c r="D25" s="238"/>
      <x:c r="E25" s="196" t="str">
        <x:f>IF(OR(C25="",D25=""),"",D25-C25)</x:f>
      </x:c>
      <x:c r="F25" s="196" t="n">
        <x:f>'01_Inputs'!$B$22</x:f>
        <x:v>0.002</x:v>
      </x:c>
      <x:c r="G25" s="196" t="n">
        <x:f>'01_Inputs'!$B$23</x:f>
        <x:v>0.001</x:v>
      </x:c>
      <x:c r="H25" s="196" t="str">
        <x:f>IF(C25="","PENDIENTE",IF(C25&lt;=F25,"OK","REVISAR"))</x:f>
        <x:v>PENDIENTE</x:v>
      </x:c>
      <x:c r="I25" s="196" t="str">
        <x:f>IF(E25="","PENDIENTE",IF(E25&lt;=G25,"OK","REVISAR"))</x:f>
        <x:v>PENDIENTE</x:v>
      </x:c>
      <x:c r="J25" s="196" t="str">
        <x:v>Pegar combos DRIFT_*; no usar 1.4E.</x:v>
      </x:c>
      <x:c r="K25" s="196"/>
      <x:c r="L25" s="196"/>
      <x:c r="M25" s="196"/>
      <x:c r="N25" s="58"/>
    </x:row>
    <x:row r="26">
      <x:c r="A26" s="236"/>
      <x:c r="B26" s="120"/>
      <x:c r="C26" s="238"/>
      <x:c r="D26" s="238"/>
      <x:c r="E26" s="196" t="str">
        <x:f>IF(OR(C26="",D26=""),"",D26-C26)</x:f>
      </x:c>
      <x:c r="F26" s="196" t="n">
        <x:f>'01_Inputs'!$B$22</x:f>
        <x:v>0.002</x:v>
      </x:c>
      <x:c r="G26" s="196" t="n">
        <x:f>'01_Inputs'!$B$23</x:f>
        <x:v>0.001</x:v>
      </x:c>
      <x:c r="H26" s="196" t="str">
        <x:f>IF(C26="","PENDIENTE",IF(C26&lt;=F26,"OK","REVISAR"))</x:f>
        <x:v>PENDIENTE</x:v>
      </x:c>
      <x:c r="I26" s="196" t="str">
        <x:f>IF(E26="","PENDIENTE",IF(E26&lt;=G26,"OK","REVISAR"))</x:f>
        <x:v>PENDIENTE</x:v>
      </x:c>
      <x:c r="J26" s="196" t="str">
        <x:v>Pegar combos DRIFT_*; no usar 1.4E.</x:v>
      </x:c>
      <x:c r="K26" s="196"/>
      <x:c r="L26" s="196"/>
      <x:c r="M26" s="196"/>
      <x:c r="N26" s="58"/>
    </x:row>
    <x:row r="27">
      <x:c r="A27" s="236"/>
      <x:c r="B27" s="120"/>
      <x:c r="C27" s="238"/>
      <x:c r="D27" s="238"/>
      <x:c r="E27" s="196" t="str">
        <x:f>IF(OR(C27="",D27=""),"",D27-C27)</x:f>
      </x:c>
      <x:c r="F27" s="196" t="n">
        <x:f>'01_Inputs'!$B$22</x:f>
        <x:v>0.002</x:v>
      </x:c>
      <x:c r="G27" s="196" t="n">
        <x:f>'01_Inputs'!$B$23</x:f>
        <x:v>0.001</x:v>
      </x:c>
      <x:c r="H27" s="196" t="str">
        <x:f>IF(C27="","PENDIENTE",IF(C27&lt;=F27,"OK","REVISAR"))</x:f>
        <x:v>PENDIENTE</x:v>
      </x:c>
      <x:c r="I27" s="196" t="str">
        <x:f>IF(E27="","PENDIENTE",IF(E27&lt;=G27,"OK","REVISAR"))</x:f>
        <x:v>PENDIENTE</x:v>
      </x:c>
      <x:c r="J27" s="196" t="str">
        <x:v>Pegar combos DRIFT_*; no usar 1.4E.</x:v>
      </x:c>
      <x:c r="K27" s="196"/>
      <x:c r="L27" s="196"/>
      <x:c r="M27" s="196"/>
      <x:c r="N27" s="58"/>
    </x:row>
    <x:row r="28">
      <x:c r="A28" s="236"/>
      <x:c r="B28" s="120"/>
      <x:c r="C28" s="238"/>
      <x:c r="D28" s="238"/>
      <x:c r="E28" s="196" t="str">
        <x:f>IF(OR(C28="",D28=""),"",D28-C28)</x:f>
      </x:c>
      <x:c r="F28" s="196" t="n">
        <x:f>'01_Inputs'!$B$22</x:f>
        <x:v>0.002</x:v>
      </x:c>
      <x:c r="G28" s="196" t="n">
        <x:f>'01_Inputs'!$B$23</x:f>
        <x:v>0.001</x:v>
      </x:c>
      <x:c r="H28" s="196" t="str">
        <x:f>IF(C28="","PENDIENTE",IF(C28&lt;=F28,"OK","REVISAR"))</x:f>
        <x:v>PENDIENTE</x:v>
      </x:c>
      <x:c r="I28" s="196" t="str">
        <x:f>IF(E28="","PENDIENTE",IF(E28&lt;=G28,"OK","REVISAR"))</x:f>
        <x:v>PENDIENTE</x:v>
      </x:c>
      <x:c r="J28" s="196" t="str">
        <x:v>Pegar combos DRIFT_*; no usar 1.4E.</x:v>
      </x:c>
      <x:c r="K28" s="196"/>
      <x:c r="L28" s="196"/>
      <x:c r="M28" s="196"/>
      <x:c r="N28" s="58"/>
    </x:row>
    <x:row r="29">
      <x:c r="A29" s="236"/>
      <x:c r="B29" s="120"/>
      <x:c r="C29" s="238"/>
      <x:c r="D29" s="238"/>
      <x:c r="E29" s="196" t="str">
        <x:f>IF(OR(C29="",D29=""),"",D29-C29)</x:f>
      </x:c>
      <x:c r="F29" s="196" t="n">
        <x:f>'01_Inputs'!$B$22</x:f>
        <x:v>0.002</x:v>
      </x:c>
      <x:c r="G29" s="196" t="n">
        <x:f>'01_Inputs'!$B$23</x:f>
        <x:v>0.001</x:v>
      </x:c>
      <x:c r="H29" s="196" t="str">
        <x:f>IF(C29="","PENDIENTE",IF(C29&lt;=F29,"OK","REVISAR"))</x:f>
        <x:v>PENDIENTE</x:v>
      </x:c>
      <x:c r="I29" s="196" t="str">
        <x:f>IF(E29="","PENDIENTE",IF(E29&lt;=G29,"OK","REVISAR"))</x:f>
        <x:v>PENDIENTE</x:v>
      </x:c>
      <x:c r="J29" s="196" t="str">
        <x:v>Pegar combos DRIFT_*; no usar 1.4E.</x:v>
      </x:c>
      <x:c r="K29" s="196"/>
      <x:c r="L29" s="196"/>
      <x:c r="M29" s="196"/>
      <x:c r="N29" s="58"/>
    </x:row>
    <x:row r="30">
      <x:c r="A30" s="59"/>
      <x:c r="B30" s="60"/>
      <x:c r="C30" s="198"/>
      <x:c r="D30" s="198"/>
      <x:c r="E30" s="198"/>
      <x:c r="F30" s="198"/>
      <x:c r="G30" s="198"/>
      <x:c r="H30" s="198"/>
      <x:c r="I30" s="198"/>
      <x:c r="J30" s="198"/>
      <x:c r="K30" s="198"/>
      <x:c r="L30" s="198"/>
      <x:c r="M30" s="198"/>
      <x:c r="N30" s="61"/>
    </x:row>
  </x:sheetData>
  <x:mergeCells>
    <x:mergeCell ref="A1:N1"/>
  </x:mergeCells>
  <x:pageMargins left="0.7" right="0.7" top="0.75" bottom="0.75" header="0.3" footer="0.3"/>
</x:worksheet>
</file>