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LEEME" sheetId="1" r:id="rId1"/>
    <sheet name="01_Inputs" sheetId="2" r:id="rId2"/>
    <sheet name="02_Datos_ETABS" sheetId="3" r:id="rId3"/>
    <sheet name="03_Coeficiente_C" sheetId="4" r:id="rId4"/>
    <sheet name="04_Distribución" sheetId="5" r:id="rId5"/>
    <sheet name="05_Cargas_ETABS" sheetId="6" r:id="rId6"/>
    <sheet name="06_Combos_Guía" sheetId="7" r:id="rId7"/>
    <sheet name="07_Validaciones" sheetId="8" r:id="rId8"/>
    <sheet name="08_Trazabilidad_Clase" sheetId="9" r:id="rId9"/>
    <sheet name="09_Gráficos" sheetId="10" r:id="rId10"/>
  </sheets>
  <calcPr calcId="124519" fullCalcOnLoad="1"/>
</workbook>
</file>

<file path=xl/sharedStrings.xml><?xml version="1.0" encoding="utf-8"?>
<sst xmlns="http://schemas.openxmlformats.org/spreadsheetml/2006/main" count="202" uniqueCount="158">
  <si>
    <t>Edificio 2 - Método estático manual verificado con clase</t>
  </si>
  <si>
    <t>Leyenda</t>
  </si>
  <si>
    <t>Amarillo</t>
  </si>
  <si>
    <t>Editable por ti durante la clase.</t>
  </si>
  <si>
    <t>Azul</t>
  </si>
  <si>
    <t>Dato leído desde ETABS/API/OUT.</t>
  </si>
  <si>
    <t>Verde</t>
  </si>
  <si>
    <t>Fórmula calculada.</t>
  </si>
  <si>
    <t>Gris</t>
  </si>
  <si>
    <t>Dato fijo de enunciado/norma para este caso.</t>
  </si>
  <si>
    <t>Morado</t>
  </si>
  <si>
    <t>Trazabilidad de clase/PDF.</t>
  </si>
  <si>
    <t>Uso</t>
  </si>
  <si>
    <t>Este archivo queda listo para que hagas el método estático manual del Edificio 2. Los datos iniciales ya están poblados desde la clase, NCh433:2026 y ETABS. Edita sólo celdas amarillas si el profesor decide cambiar algún supuesto. La hoja 05_Cargas_ETABS entrega las fuerzas y momentos que luego se ingresan a ETABS como EX, EY, TEX y TEY.</t>
  </si>
  <si>
    <t>Parámetro</t>
  </si>
  <si>
    <t>Valor</t>
  </si>
  <si>
    <t>Tipo</t>
  </si>
  <si>
    <t>Nota</t>
  </si>
  <si>
    <t>Ao/g zona 3</t>
  </si>
  <si>
    <t>Editable</t>
  </si>
  <si>
    <t>Clase + Tabla 7 NCh433: Antofagasta/Zona 3.</t>
  </si>
  <si>
    <t>S suelo C</t>
  </si>
  <si>
    <t>Tabla 8 NCh433: suelo C.</t>
  </si>
  <si>
    <t>I importancia</t>
  </si>
  <si>
    <t>Categoría II / no aglomeración: I = 1,0.</t>
  </si>
  <si>
    <t>R sistema marcos</t>
  </si>
  <si>
    <t>Marcos especiales de hormigón armado: R = 7.</t>
  </si>
  <si>
    <t>T' suelo [s]</t>
  </si>
  <si>
    <t>n suelo</t>
  </si>
  <si>
    <t>Tabla 8 NCh433: suelo C, n = 1,40.</t>
  </si>
  <si>
    <t>H total [m]</t>
  </si>
  <si>
    <t>Fijo</t>
  </si>
  <si>
    <t>3,5 + 4x3,0 = 15,5 m.</t>
  </si>
  <si>
    <t>b planta X [m]</t>
  </si>
  <si>
    <t>Planta 32,5 x 32,5 m.</t>
  </si>
  <si>
    <t>b planta Y [m]</t>
  </si>
  <si>
    <t>Área planta [m²]</t>
  </si>
  <si>
    <t>32,5 x 32,5.</t>
  </si>
  <si>
    <t>Tx* [s]</t>
  </si>
  <si>
    <t>Modo 2 con mayor UX = 0.867502.</t>
  </si>
  <si>
    <t>Ty* [s]</t>
  </si>
  <si>
    <t>Modo 1 con mayor UY = 0.867495.</t>
  </si>
  <si>
    <t>Factor sobrecarga masa</t>
  </si>
  <si>
    <t>No aglomeración: 25% de sobrecarga.</t>
  </si>
  <si>
    <t>Pesos sísmicos por piso desde ETABS OUT</t>
  </si>
  <si>
    <t>Piso</t>
  </si>
  <si>
    <t>Z [m]</t>
  </si>
  <si>
    <t>P_k [tonf]</t>
  </si>
  <si>
    <t>Story1</t>
  </si>
  <si>
    <t>Story2</t>
  </si>
  <si>
    <t>Story3</t>
  </si>
  <si>
    <t>Story4</t>
  </si>
  <si>
    <t>Story5</t>
  </si>
  <si>
    <t>Masas participantes modales desde ETABS API</t>
  </si>
  <si>
    <t>Modo</t>
  </si>
  <si>
    <t>T [s]</t>
  </si>
  <si>
    <t>UX</t>
  </si>
  <si>
    <t>UY</t>
  </si>
  <si>
    <t>RZ</t>
  </si>
  <si>
    <t>SumUX</t>
  </si>
  <si>
    <t>SumUY</t>
  </si>
  <si>
    <t>SumRZ</t>
  </si>
  <si>
    <t>Cálculo</t>
  </si>
  <si>
    <t>X</t>
  </si>
  <si>
    <t>Y</t>
  </si>
  <si>
    <t>T* [s]</t>
  </si>
  <si>
    <t>Modo con mayor masa traslacional en la dirección.</t>
  </si>
  <si>
    <t>C raw</t>
  </si>
  <si>
    <t>Ec. 6.2.3.1.</t>
  </si>
  <si>
    <t>Cmin</t>
  </si>
  <si>
    <t>Mínimo obligatorio.</t>
  </si>
  <si>
    <t>Cmax</t>
  </si>
  <si>
    <t>R &gt;= 6: se usa Cmax en taller si C raw supera.</t>
  </si>
  <si>
    <t>C usado</t>
  </si>
  <si>
    <t>Coeficiente aplicado.</t>
  </si>
  <si>
    <t>P total [tonf]</t>
  </si>
  <si>
    <t>Suma P_k desde ETABS OUT.</t>
  </si>
  <si>
    <t>Q0 [tonf]</t>
  </si>
  <si>
    <t>Q0 = C I P.</t>
  </si>
  <si>
    <t>P_k</t>
  </si>
  <si>
    <t>Z prev</t>
  </si>
  <si>
    <t>A_k</t>
  </si>
  <si>
    <t>A_k P_k</t>
  </si>
  <si>
    <t>F_x</t>
  </si>
  <si>
    <t>F_y</t>
  </si>
  <si>
    <t>e sismo X</t>
  </si>
  <si>
    <t>e sismo Y</t>
  </si>
  <si>
    <t>Mt_X</t>
  </si>
  <si>
    <t>Mt_Y</t>
  </si>
  <si>
    <t>Vx acum</t>
  </si>
  <si>
    <t>Vy acum</t>
  </si>
  <si>
    <t>Chequeo suma F</t>
  </si>
  <si>
    <t>EX Fx [tonf]</t>
  </si>
  <si>
    <t>EY Fy [tonf]</t>
  </si>
  <si>
    <t>TEX Mz [tonf-m]</t>
  </si>
  <si>
    <t>TEY Mz [tonf-m]</t>
  </si>
  <si>
    <t>Uso en ETABS</t>
  </si>
  <si>
    <t>Aplicar en centro de masa/diafragma del piso; signos ± se manejan por casos/combos.</t>
  </si>
  <si>
    <t>Etapa</t>
  </si>
  <si>
    <t>Referencia para después de ingresar EX/EY/TEX/TEY</t>
  </si>
  <si>
    <t>D</t>
  </si>
  <si>
    <t>PP + TERP + TERT</t>
  </si>
  <si>
    <t>L</t>
  </si>
  <si>
    <t>SCP</t>
  </si>
  <si>
    <t>Lr</t>
  </si>
  <si>
    <t>SCT</t>
  </si>
  <si>
    <t>Sismo X</t>
  </si>
  <si>
    <t>EX ± TEX, con mismo signo de torsión en todos los niveles para cada análisis.</t>
  </si>
  <si>
    <t>Sismo Y</t>
  </si>
  <si>
    <t>EY ± TEY, con mismo signo de torsión en todos los niveles para cada análisis.</t>
  </si>
  <si>
    <t>Resistencia</t>
  </si>
  <si>
    <t>1,2D + L ± 1,4E ± 1,4T.</t>
  </si>
  <si>
    <t>0,9D ± 1,4E ± 1,4T.</t>
  </si>
  <si>
    <t>Drift</t>
  </si>
  <si>
    <t>E ± T sin mayorar; no usar combinaciones de resistencia para deformaciones.</t>
  </si>
  <si>
    <t>Chequeo</t>
  </si>
  <si>
    <t>Estado</t>
  </si>
  <si>
    <t>Sumatoria Fx - Q0x</t>
  </si>
  <si>
    <t>Sumatoria Fy - Q0y</t>
  </si>
  <si>
    <t>C raw X vs Cmax</t>
  </si>
  <si>
    <t>C raw Y vs Cmax</t>
  </si>
  <si>
    <t>Masa modal acumulada X</t>
  </si>
  <si>
    <t>Masa modal acumulada Y</t>
  </si>
  <si>
    <t>Modo elegido Tx*</t>
  </si>
  <si>
    <t>Modo elegido Ty*</t>
  </si>
  <si>
    <t>Tema</t>
  </si>
  <si>
    <t>Fuente</t>
  </si>
  <si>
    <t>Criterio usado</t>
  </si>
  <si>
    <t>Método</t>
  </si>
  <si>
    <t>sismo 10, 01:23-01:36</t>
  </si>
  <si>
    <t>Edificio 2 del taller usa método estático porque tiene 5 pisos.</t>
  </si>
  <si>
    <t>OK</t>
  </si>
  <si>
    <t>Corte basal</t>
  </si>
  <si>
    <t>NCh433:2026 6.2.3 / clase 02:34</t>
  </si>
  <si>
    <t>Q0 = C I P, independiente para X e Y.</t>
  </si>
  <si>
    <t>Peso sísmico</t>
  </si>
  <si>
    <t>sismo 10, 02:53-03:15</t>
  </si>
  <si>
    <t>P = permanentes + porcentaje de sobrecarga; sin aglomeración =&gt; 25%.</t>
  </si>
  <si>
    <t>Parámetros suelo C</t>
  </si>
  <si>
    <t>NCh433:2026 Tabla 8</t>
  </si>
  <si>
    <t>S=1,05; T'=0,45 s; n=1,40.</t>
  </si>
  <si>
    <t>Zona</t>
  </si>
  <si>
    <t>sismo 10, 06:47 / NCh Tabla 7</t>
  </si>
  <si>
    <t>Antofagasta Zona 3: Ao/g = 0,40.</t>
  </si>
  <si>
    <t>Sistema</t>
  </si>
  <si>
    <t>sismo 10, 11:12 / NCh Tabla 5</t>
  </si>
  <si>
    <t>Límites de C</t>
  </si>
  <si>
    <t>sismo 10, 12:06-15:35 / NCh 6.2.3.1</t>
  </si>
  <si>
    <t>Cmin obligatorio; si C raw &gt; Cmax, en taller se usa Cmax.</t>
  </si>
  <si>
    <t>Distribución</t>
  </si>
  <si>
    <t>NCh433:2026 6.2.5</t>
  </si>
  <si>
    <t>Fk = AkPk/sum(AjPj) Q0; Ak por alturas Zk.</t>
  </si>
  <si>
    <t>Torsión estática</t>
  </si>
  <si>
    <t>NCh433:2026 6.2.8 / sismo 10, 24:19-29:47</t>
  </si>
  <si>
    <t>Mt,k = Fk * 0,10*b*(Zk/H), con signo uniforme por análisis.</t>
  </si>
  <si>
    <t>ETABS</t>
  </si>
  <si>
    <t>sismo 10, 22:51-22:56</t>
  </si>
  <si>
    <t>No usar automatismo 'norma chilena' de ETABS; calcular en Excel e ingresar a ETABS.</t>
  </si>
</sst>
</file>

<file path=xl/styles.xml><?xml version="1.0" encoding="utf-8"?>
<styleSheet xmlns="http://schemas.openxmlformats.org/spreadsheetml/2006/main">
  <numFmts count="1">
    <numFmt numFmtId="164" formatCode="0.000000"/>
  </numFmts>
  <fonts count="4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202A3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EADCF8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/>
    </xf>
    <xf numFmtId="0" fontId="0" fillId="4" borderId="1" xfId="0" applyFill="1" applyBorder="1" applyProtection="1">
      <protection locked="0"/>
    </xf>
    <xf numFmtId="0" fontId="0" fillId="0" borderId="1" xfId="0" applyBorder="1" applyAlignment="1">
      <alignment vertical="top" wrapText="1"/>
    </xf>
    <xf numFmtId="164" fontId="0" fillId="5" borderId="1" xfId="0" applyNumberFormat="1" applyFill="1" applyBorder="1"/>
    <xf numFmtId="164" fontId="0" fillId="6" borderId="1" xfId="0" applyNumberFormat="1" applyFill="1" applyBorder="1"/>
    <xf numFmtId="164" fontId="0" fillId="7" borderId="1" xfId="0" applyNumberFormat="1" applyFill="1" applyBorder="1"/>
    <xf numFmtId="0" fontId="0" fillId="8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3" fillId="9" borderId="1" xfId="0" applyFont="1" applyFill="1" applyBorder="1" applyAlignment="1">
      <alignment horizontal="center" vertical="center" wrapText="1"/>
    </xf>
    <xf numFmtId="164" fontId="0" fillId="4" borderId="1" xfId="0" applyNumberFormat="1" applyFill="1" applyBorder="1" applyProtection="1">
      <protection locked="0"/>
    </xf>
    <xf numFmtId="0" fontId="3" fillId="10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Fuerzas sísmicas por piso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Fx</c:v>
          </c:tx>
          <c:spPr>
            <a:solidFill>
              <a:srgbClr val="4472C4"/>
            </a:solidFill>
          </c:spPr>
          <c:cat>
            <c:strRef>
              <c:f>'04_Distribución'!$A$3:$A$7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'04_Distribución'!$G$3:$G$7</c:f>
              <c:numCache>
                <c:formatCode>General</c:formatCode>
                <c:ptCount val="5"/>
                <c:pt idx="0">
                  <c:v>102.88575626975626</c:v>
                </c:pt>
                <c:pt idx="1">
                  <c:v>99.16182691873195</c:v>
                </c:pt>
                <c:pt idx="2">
                  <c:v>113.65970051891091</c:v>
                </c:pt>
                <c:pt idx="3">
                  <c:v>148.12420558577742</c:v>
                </c:pt>
                <c:pt idx="4">
                  <c:v>315.4571328748234</c:v>
                </c:pt>
              </c:numCache>
            </c:numRef>
          </c:val>
        </c:ser>
        <c:ser>
          <c:idx val="1"/>
          <c:order val="1"/>
          <c:tx>
            <c:v>Fy</c:v>
          </c:tx>
          <c:spPr>
            <a:solidFill>
              <a:srgbClr val="70AD47"/>
            </a:solidFill>
          </c:spPr>
          <c:cat>
            <c:strRef>
              <c:f>'04_Distribución'!$A$3:$A$7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'04_Distribución'!$H$3:$H$7</c:f>
              <c:numCache>
                <c:formatCode>General</c:formatCode>
                <c:ptCount val="5"/>
                <c:pt idx="0">
                  <c:v>102.88575626975626</c:v>
                </c:pt>
                <c:pt idx="1">
                  <c:v>99.16182691873195</c:v>
                </c:pt>
                <c:pt idx="2">
                  <c:v>113.65970051891091</c:v>
                </c:pt>
                <c:pt idx="3">
                  <c:v>148.12420558577742</c:v>
                </c:pt>
                <c:pt idx="4">
                  <c:v>315.4571328748234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 [tonf]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Momentos de torsión accidental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Mt_X</c:v>
          </c:tx>
          <c:spPr>
            <a:ln w="28575">
              <a:solidFill>
                <a:srgbClr val="C00000"/>
              </a:solidFill>
            </a:ln>
          </c:spPr>
          <c:marker>
            <c:symbol val="none"/>
          </c:marker>
          <c:cat>
            <c:strRef>
              <c:f>'04_Distribución'!$A$3:$A$7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'04_Distribución'!$K$3:$K$7</c:f>
              <c:numCache>
                <c:formatCode>General</c:formatCode>
                <c:ptCount val="5"/>
                <c:pt idx="0">
                  <c:v>75.50486952054693</c:v>
                </c:pt>
                <c:pt idx="1">
                  <c:v>135.1479737844008</c:v>
                </c:pt>
                <c:pt idx="2">
                  <c:v>226.40279054976608</c:v>
                </c:pt>
                <c:pt idx="3">
                  <c:v>388.22876464014246</c:v>
                </c:pt>
                <c:pt idx="4">
                  <c:v>1025.235681843176</c:v>
                </c:pt>
              </c:numCache>
            </c:numRef>
          </c:val>
        </c:ser>
        <c:ser>
          <c:idx val="1"/>
          <c:order val="1"/>
          <c:tx>
            <c:v>Mt_Y</c:v>
          </c:tx>
          <c:spPr>
            <a:ln w="28575">
              <a:solidFill>
                <a:srgbClr val="7030A0"/>
              </a:solidFill>
            </a:ln>
          </c:spPr>
          <c:marker>
            <c:symbol val="none"/>
          </c:marker>
          <c:cat>
            <c:strRef>
              <c:f>'04_Distribución'!$A$3:$A$7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'04_Distribución'!$L$3:$L$7</c:f>
              <c:numCache>
                <c:formatCode>General</c:formatCode>
                <c:ptCount val="5"/>
                <c:pt idx="0">
                  <c:v>75.50486952054693</c:v>
                </c:pt>
                <c:pt idx="1">
                  <c:v>135.1479737844008</c:v>
                </c:pt>
                <c:pt idx="2">
                  <c:v>226.40279054976608</c:v>
                </c:pt>
                <c:pt idx="3">
                  <c:v>388.22876464014246</c:v>
                </c:pt>
                <c:pt idx="4">
                  <c:v>1025.235681843176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Mt [tonf-m]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4</xdr:col>
      <xdr:colOff>1181100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4</xdr:col>
      <xdr:colOff>1181100</xdr:colOff>
      <xdr:row>39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width="24.7109375" customWidth="1"/>
    <col min="2" max="8" width="26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>
      <c r="A4" s="2" t="s">
        <v>1</v>
      </c>
    </row>
    <row r="5" spans="1:8">
      <c r="A5" s="3" t="s">
        <v>2</v>
      </c>
      <c r="B5" s="4" t="s">
        <v>3</v>
      </c>
    </row>
    <row r="6" spans="1:8">
      <c r="A6" s="5" t="s">
        <v>4</v>
      </c>
      <c r="B6" s="4" t="s">
        <v>5</v>
      </c>
    </row>
    <row r="7" spans="1:8">
      <c r="A7" s="6" t="s">
        <v>6</v>
      </c>
      <c r="B7" s="4" t="s">
        <v>7</v>
      </c>
    </row>
    <row r="8" spans="1:8">
      <c r="A8" s="7" t="s">
        <v>8</v>
      </c>
      <c r="B8" s="4" t="s">
        <v>9</v>
      </c>
    </row>
    <row r="9" spans="1:8">
      <c r="A9" s="8" t="s">
        <v>10</v>
      </c>
      <c r="B9" s="4" t="s">
        <v>11</v>
      </c>
    </row>
    <row r="12" spans="1:8">
      <c r="A12" s="2" t="s">
        <v>12</v>
      </c>
    </row>
    <row r="13" spans="1:8">
      <c r="A13" s="9" t="s">
        <v>13</v>
      </c>
      <c r="B13" s="9"/>
      <c r="C13" s="9"/>
      <c r="D13" s="9"/>
      <c r="E13" s="9"/>
      <c r="F13" s="9"/>
      <c r="G13" s="9"/>
      <c r="H13" s="9"/>
    </row>
    <row r="14" spans="1:8">
      <c r="A14" s="9"/>
      <c r="B14" s="9"/>
      <c r="C14" s="9"/>
      <c r="D14" s="9"/>
      <c r="E14" s="9"/>
      <c r="F14" s="9"/>
      <c r="G14" s="9"/>
      <c r="H14" s="9"/>
    </row>
    <row r="15" spans="1:8">
      <c r="A15" s="9"/>
      <c r="B15" s="9"/>
      <c r="C15" s="9"/>
      <c r="D15" s="9"/>
      <c r="E15" s="9"/>
      <c r="F15" s="9"/>
      <c r="G15" s="9"/>
      <c r="H15" s="9"/>
    </row>
    <row r="16" spans="1:8">
      <c r="A16" s="9"/>
      <c r="B16" s="9"/>
      <c r="C16" s="9"/>
      <c r="D16" s="9"/>
      <c r="E16" s="9"/>
      <c r="F16" s="9"/>
      <c r="G16" s="9"/>
      <c r="H16" s="9"/>
    </row>
    <row r="17" spans="1:8">
      <c r="A17" s="9"/>
      <c r="B17" s="9"/>
      <c r="C17" s="9"/>
      <c r="D17" s="9"/>
      <c r="E17" s="9"/>
      <c r="F17" s="9"/>
      <c r="G17" s="9"/>
      <c r="H17" s="9"/>
    </row>
    <row r="18" spans="1:8">
      <c r="A18" s="9"/>
      <c r="B18" s="9"/>
      <c r="C18" s="9"/>
      <c r="D18" s="9"/>
      <c r="E18" s="9"/>
      <c r="F18" s="9"/>
      <c r="G18" s="9"/>
      <c r="H18" s="9"/>
    </row>
    <row r="19" spans="1:8">
      <c r="A19" s="9"/>
      <c r="B19" s="9"/>
      <c r="C19" s="9"/>
      <c r="D19" s="9"/>
      <c r="E19" s="9"/>
      <c r="F19" s="9"/>
      <c r="G19" s="9"/>
      <c r="H19" s="9"/>
    </row>
  </sheetData>
  <mergeCells count="2">
    <mergeCell ref="A1:H2"/>
    <mergeCell ref="A13:H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cols>
    <col min="1" max="1" width="34.7109375" customWidth="1"/>
    <col min="2" max="2" width="18.7109375" customWidth="1"/>
    <col min="3" max="4" width="38.7109375" customWidth="1"/>
  </cols>
  <sheetData>
    <row r="1" spans="1:4">
      <c r="A1" s="10" t="s">
        <v>14</v>
      </c>
      <c r="B1" s="10" t="s">
        <v>15</v>
      </c>
      <c r="C1" s="10" t="s">
        <v>16</v>
      </c>
      <c r="D1" s="10" t="s">
        <v>17</v>
      </c>
    </row>
    <row r="2" spans="1:4">
      <c r="A2" s="4" t="s">
        <v>18</v>
      </c>
      <c r="B2" s="11">
        <v>0.4</v>
      </c>
      <c r="C2" s="3" t="s">
        <v>19</v>
      </c>
      <c r="D2" s="4" t="s">
        <v>20</v>
      </c>
    </row>
    <row r="3" spans="1:4">
      <c r="A3" s="4" t="s">
        <v>21</v>
      </c>
      <c r="B3" s="11">
        <v>1.05</v>
      </c>
      <c r="C3" s="3" t="s">
        <v>19</v>
      </c>
      <c r="D3" s="4" t="s">
        <v>22</v>
      </c>
    </row>
    <row r="4" spans="1:4">
      <c r="A4" s="4" t="s">
        <v>23</v>
      </c>
      <c r="B4" s="11">
        <v>1</v>
      </c>
      <c r="C4" s="3" t="s">
        <v>19</v>
      </c>
      <c r="D4" s="4" t="s">
        <v>24</v>
      </c>
    </row>
    <row r="5" spans="1:4">
      <c r="A5" s="4" t="s">
        <v>25</v>
      </c>
      <c r="B5" s="11">
        <v>7</v>
      </c>
      <c r="C5" s="3" t="s">
        <v>19</v>
      </c>
      <c r="D5" s="4" t="s">
        <v>26</v>
      </c>
    </row>
    <row r="6" spans="1:4">
      <c r="A6" s="4" t="s">
        <v>27</v>
      </c>
      <c r="B6" s="11">
        <v>0.45</v>
      </c>
      <c r="C6" s="3" t="s">
        <v>19</v>
      </c>
      <c r="D6" s="4" t="s">
        <v>22</v>
      </c>
    </row>
    <row r="7" spans="1:4">
      <c r="A7" s="4" t="s">
        <v>28</v>
      </c>
      <c r="B7" s="11">
        <v>1.4</v>
      </c>
      <c r="C7" s="3" t="s">
        <v>19</v>
      </c>
      <c r="D7" s="4" t="s">
        <v>29</v>
      </c>
    </row>
    <row r="8" spans="1:4">
      <c r="A8" s="4" t="s">
        <v>30</v>
      </c>
      <c r="B8" s="7">
        <v>15.5</v>
      </c>
      <c r="C8" s="7" t="s">
        <v>31</v>
      </c>
      <c r="D8" s="4" t="s">
        <v>32</v>
      </c>
    </row>
    <row r="9" spans="1:4">
      <c r="A9" s="4" t="s">
        <v>33</v>
      </c>
      <c r="B9" s="7">
        <v>32.5</v>
      </c>
      <c r="C9" s="7" t="s">
        <v>31</v>
      </c>
      <c r="D9" s="4" t="s">
        <v>34</v>
      </c>
    </row>
    <row r="10" spans="1:4">
      <c r="A10" s="4" t="s">
        <v>35</v>
      </c>
      <c r="B10" s="7">
        <v>32.5</v>
      </c>
      <c r="C10" s="7" t="s">
        <v>31</v>
      </c>
      <c r="D10" s="4" t="s">
        <v>34</v>
      </c>
    </row>
    <row r="11" spans="1:4">
      <c r="A11" s="4" t="s">
        <v>36</v>
      </c>
      <c r="B11" s="7">
        <v>1056.25</v>
      </c>
      <c r="C11" s="7" t="s">
        <v>31</v>
      </c>
      <c r="D11" s="4" t="s">
        <v>37</v>
      </c>
    </row>
    <row r="12" spans="1:4">
      <c r="A12" s="4" t="s">
        <v>38</v>
      </c>
      <c r="B12" s="11">
        <v>0.4042990005374933</v>
      </c>
      <c r="C12" s="3" t="s">
        <v>19</v>
      </c>
      <c r="D12" s="4" t="s">
        <v>39</v>
      </c>
    </row>
    <row r="13" spans="1:4">
      <c r="A13" s="4" t="s">
        <v>40</v>
      </c>
      <c r="B13" s="11">
        <v>0.4043241769057849</v>
      </c>
      <c r="C13" s="3" t="s">
        <v>19</v>
      </c>
      <c r="D13" s="4" t="s">
        <v>41</v>
      </c>
    </row>
    <row r="14" spans="1:4">
      <c r="A14" s="4" t="s">
        <v>42</v>
      </c>
      <c r="B14" s="11">
        <v>0.25</v>
      </c>
      <c r="C14" s="3" t="s">
        <v>19</v>
      </c>
      <c r="D14" s="4" t="s">
        <v>43</v>
      </c>
    </row>
  </sheetData>
  <sheetProtection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8"/>
  <sheetViews>
    <sheetView workbookViewId="0">
      <pane ySplit="3" topLeftCell="A4" activePane="bottomLeft" state="frozen"/>
      <selection pane="bottomLeft"/>
    </sheetView>
  </sheetViews>
  <sheetFormatPr defaultRowHeight="15"/>
  <cols>
    <col min="1" max="3" width="18.7109375" customWidth="1"/>
    <col min="5" max="12" width="15.7109375" customWidth="1"/>
  </cols>
  <sheetData>
    <row r="1" spans="1:12">
      <c r="A1" s="2" t="s">
        <v>44</v>
      </c>
      <c r="E1" s="2" t="s">
        <v>53</v>
      </c>
    </row>
    <row r="3" spans="1:12">
      <c r="A3" s="10" t="s">
        <v>45</v>
      </c>
      <c r="B3" s="10" t="s">
        <v>46</v>
      </c>
      <c r="C3" s="10" t="s">
        <v>47</v>
      </c>
      <c r="E3" s="10" t="s">
        <v>54</v>
      </c>
      <c r="F3" s="10" t="s">
        <v>55</v>
      </c>
      <c r="G3" s="10" t="s">
        <v>56</v>
      </c>
      <c r="H3" s="10" t="s">
        <v>57</v>
      </c>
      <c r="I3" s="10" t="s">
        <v>58</v>
      </c>
      <c r="J3" s="10" t="s">
        <v>59</v>
      </c>
      <c r="K3" s="10" t="s">
        <v>60</v>
      </c>
      <c r="L3" s="10" t="s">
        <v>61</v>
      </c>
    </row>
    <row r="4" spans="1:12">
      <c r="A4" s="4" t="s">
        <v>48</v>
      </c>
      <c r="B4" s="5">
        <v>3.5</v>
      </c>
      <c r="C4" s="5">
        <v>1123.825</v>
      </c>
      <c r="E4" s="5">
        <v>1</v>
      </c>
      <c r="F4" s="5">
        <v>0.4043241769057849</v>
      </c>
      <c r="G4" s="5">
        <v>0.0001755745009887615</v>
      </c>
      <c r="H4" s="5">
        <v>0.8674947859786961</v>
      </c>
      <c r="I4" s="5">
        <v>3.681469605760478E-07</v>
      </c>
      <c r="J4" s="5">
        <v>0.0001755745009887615</v>
      </c>
      <c r="K4" s="5">
        <v>0.8674947859786961</v>
      </c>
      <c r="L4" s="5">
        <v>3.681469605760478E-07</v>
      </c>
    </row>
    <row r="5" spans="1:12">
      <c r="A5" s="4" t="s">
        <v>49</v>
      </c>
      <c r="B5" s="5">
        <v>6.5</v>
      </c>
      <c r="C5" s="5">
        <v>1103.688</v>
      </c>
      <c r="E5" s="5">
        <v>2</v>
      </c>
      <c r="F5" s="5">
        <v>0.4042990005374933</v>
      </c>
      <c r="G5" s="5">
        <v>0.8675019053308002</v>
      </c>
      <c r="H5" s="5">
        <v>0.0001755780568702539</v>
      </c>
      <c r="I5" s="5">
        <v>2.497666107627727E-09</v>
      </c>
      <c r="J5" s="5">
        <v>0.8676774798317889</v>
      </c>
      <c r="K5" s="5">
        <v>0.8676703640355664</v>
      </c>
      <c r="L5" s="5">
        <v>3.706446266836756E-07</v>
      </c>
    </row>
    <row r="6" spans="1:12">
      <c r="A6" s="4" t="s">
        <v>50</v>
      </c>
      <c r="B6" s="5">
        <v>9.5</v>
      </c>
      <c r="C6" s="5">
        <v>1066.488</v>
      </c>
      <c r="E6" s="5">
        <v>3</v>
      </c>
      <c r="F6" s="5">
        <v>0.3573495222637498</v>
      </c>
      <c r="G6" s="5">
        <v>3.501180900839722E-09</v>
      </c>
      <c r="H6" s="5">
        <v>3.779453703200942E-07</v>
      </c>
      <c r="I6" s="5">
        <v>0.8687088964892309</v>
      </c>
      <c r="J6" s="5">
        <v>0.8676774833329698</v>
      </c>
      <c r="K6" s="5">
        <v>0.8676707419809367</v>
      </c>
      <c r="L6" s="5">
        <v>0.8687092671338575</v>
      </c>
    </row>
    <row r="7" spans="1:12">
      <c r="A7" s="4" t="s">
        <v>51</v>
      </c>
      <c r="B7" s="5">
        <v>12.5</v>
      </c>
      <c r="C7" s="5">
        <v>1066.488</v>
      </c>
      <c r="E7" s="5">
        <v>4</v>
      </c>
      <c r="F7" s="5">
        <v>0.1368805537110627</v>
      </c>
      <c r="G7" s="5">
        <v>3.43837346486662E-05</v>
      </c>
      <c r="H7" s="5">
        <v>0.09982194717283555</v>
      </c>
      <c r="I7" s="5">
        <v>3.270271303263766E-08</v>
      </c>
      <c r="J7" s="5">
        <v>0.8677118670676185</v>
      </c>
      <c r="K7" s="5">
        <v>0.9674926891537723</v>
      </c>
      <c r="L7" s="5">
        <v>0.8687092998365705</v>
      </c>
    </row>
    <row r="8" spans="1:12">
      <c r="A8" s="4" t="s">
        <v>52</v>
      </c>
      <c r="B8" s="5">
        <v>15.5</v>
      </c>
      <c r="C8" s="5">
        <v>940.794144</v>
      </c>
      <c r="E8" s="5">
        <v>5</v>
      </c>
      <c r="F8" s="5">
        <v>0.1368737903037833</v>
      </c>
      <c r="G8" s="5">
        <v>0.09981850863842523</v>
      </c>
      <c r="H8" s="5">
        <v>3.4381945421569E-05</v>
      </c>
      <c r="I8" s="5">
        <v>2.327899962997666E-10</v>
      </c>
      <c r="J8" s="5">
        <v>0.9675303757060437</v>
      </c>
      <c r="K8" s="5">
        <v>0.9675270710991939</v>
      </c>
      <c r="L8" s="5">
        <v>0.8687093000693605</v>
      </c>
    </row>
    <row r="9" spans="1:12">
      <c r="E9" s="5">
        <v>6</v>
      </c>
      <c r="F9" s="5">
        <v>0.1213623052841901</v>
      </c>
      <c r="G9" s="5">
        <v>3.367908184375613E-10</v>
      </c>
      <c r="H9" s="5">
        <v>2.833687528444688E-08</v>
      </c>
      <c r="I9" s="5">
        <v>0.09889245826490237</v>
      </c>
      <c r="J9" s="5">
        <v>0.9675303760428345</v>
      </c>
      <c r="K9" s="5">
        <v>0.9675270994360692</v>
      </c>
      <c r="L9" s="5">
        <v>0.9676017583342629</v>
      </c>
    </row>
    <row r="10" spans="1:12">
      <c r="E10" s="5">
        <v>7</v>
      </c>
      <c r="F10" s="5">
        <v>0.07887059193427172</v>
      </c>
      <c r="G10" s="5">
        <v>8.854336225350931E-06</v>
      </c>
      <c r="H10" s="5">
        <v>0.02236481120702401</v>
      </c>
      <c r="I10" s="5">
        <v>5.259833474393184E-09</v>
      </c>
      <c r="J10" s="5">
        <v>0.9675392303790599</v>
      </c>
      <c r="K10" s="5">
        <v>0.9898919106430932</v>
      </c>
      <c r="L10" s="5">
        <v>0.9676017635940963</v>
      </c>
    </row>
    <row r="11" spans="1:12">
      <c r="E11" s="5">
        <v>8</v>
      </c>
      <c r="F11" s="5">
        <v>0.07886787458169303</v>
      </c>
      <c r="G11" s="5">
        <v>0.02236264210256014</v>
      </c>
      <c r="H11" s="5">
        <v>8.85385112958047E-06</v>
      </c>
      <c r="I11" s="5">
        <v>5.103393959796746E-11</v>
      </c>
      <c r="J11" s="5">
        <v>0.98990187248162</v>
      </c>
      <c r="K11" s="5">
        <v>0.9899007644942228</v>
      </c>
      <c r="L11" s="5">
        <v>0.9676017636451303</v>
      </c>
    </row>
    <row r="12" spans="1:12">
      <c r="E12" s="5">
        <v>9</v>
      </c>
      <c r="F12" s="5">
        <v>0.07010404463734042</v>
      </c>
      <c r="G12" s="5">
        <v>4.561479192181595E-11</v>
      </c>
      <c r="H12" s="5">
        <v>2.826696039080992E-09</v>
      </c>
      <c r="I12" s="5">
        <v>0.02233932147266559</v>
      </c>
      <c r="J12" s="5">
        <v>0.9899018725272348</v>
      </c>
      <c r="K12" s="5">
        <v>0.9899007673209188</v>
      </c>
      <c r="L12" s="5">
        <v>0.9899410851177959</v>
      </c>
    </row>
    <row r="13" spans="1:12">
      <c r="E13" s="5">
        <v>10</v>
      </c>
      <c r="F13" s="5">
        <v>0.05455606419870651</v>
      </c>
      <c r="G13" s="5">
        <v>3.162027775332134E-06</v>
      </c>
      <c r="H13" s="5">
        <v>0.007361848273726451</v>
      </c>
      <c r="I13" s="5">
        <v>8.490630733372311E-10</v>
      </c>
      <c r="J13" s="5">
        <v>0.9899050345550101</v>
      </c>
      <c r="K13" s="5">
        <v>0.9972626155946452</v>
      </c>
      <c r="L13" s="5">
        <v>0.9899410859668589</v>
      </c>
    </row>
    <row r="14" spans="1:12">
      <c r="E14" s="5">
        <v>11</v>
      </c>
      <c r="F14" s="5">
        <v>0.05455499708840918</v>
      </c>
      <c r="G14" s="5">
        <v>0.007360946034853241</v>
      </c>
      <c r="H14" s="5">
        <v>3.161690854688051E-06</v>
      </c>
      <c r="I14" s="5">
        <v>9.852788843287398E-12</v>
      </c>
      <c r="J14" s="5">
        <v>0.9972659805898634</v>
      </c>
      <c r="K14" s="5">
        <v>0.9972657772854999</v>
      </c>
      <c r="L14" s="5">
        <v>0.9899410859767117</v>
      </c>
    </row>
    <row r="15" spans="1:12">
      <c r="E15" s="5">
        <v>12</v>
      </c>
      <c r="F15" s="5">
        <v>0.04852608255272656</v>
      </c>
      <c r="G15" s="5">
        <v>4.422274584916104E-12</v>
      </c>
      <c r="H15" s="5">
        <v>2.002950917500352E-10</v>
      </c>
      <c r="I15" s="5">
        <v>0.007382450320988505</v>
      </c>
      <c r="J15" s="5">
        <v>0.9972659805942856</v>
      </c>
      <c r="K15" s="5">
        <v>0.997265777485795</v>
      </c>
      <c r="L15" s="5">
        <v>0.9973235362977002</v>
      </c>
    </row>
    <row r="16" spans="1:12">
      <c r="E16" s="5">
        <v>13</v>
      </c>
      <c r="F16" s="5">
        <v>0.04428559346308928</v>
      </c>
      <c r="G16" s="5">
        <v>1.504459783948018E-06</v>
      </c>
      <c r="H16" s="5">
        <v>0.002732718145795465</v>
      </c>
      <c r="I16" s="5">
        <v>4.94435617006547E-11</v>
      </c>
      <c r="J16" s="5">
        <v>0.9972674850540696</v>
      </c>
      <c r="K16" s="5">
        <v>0.9999984956315905</v>
      </c>
      <c r="L16" s="5">
        <v>0.9973235363471438</v>
      </c>
    </row>
    <row r="17" spans="5:12">
      <c r="E17" s="5">
        <v>14</v>
      </c>
      <c r="F17" s="5">
        <v>0.04428530481230946</v>
      </c>
      <c r="G17" s="5">
        <v>0.002732514945818338</v>
      </c>
      <c r="H17" s="5">
        <v>1.504365114985103E-06</v>
      </c>
      <c r="I17" s="5">
        <v>8.563741591764705E-13</v>
      </c>
      <c r="J17" s="5">
        <v>0.999999999999888</v>
      </c>
      <c r="K17" s="5">
        <v>0.9999999999967055</v>
      </c>
      <c r="L17" s="5">
        <v>0.9973235363480002</v>
      </c>
    </row>
    <row r="18" spans="5:12">
      <c r="E18" s="5">
        <v>15</v>
      </c>
      <c r="F18" s="5">
        <v>0.03940628903946222</v>
      </c>
      <c r="G18" s="5">
        <v>1.122402355842113E-13</v>
      </c>
      <c r="H18" s="5">
        <v>3.294567844249288E-12</v>
      </c>
      <c r="I18" s="5">
        <v>0.002676463652000075</v>
      </c>
      <c r="J18" s="5">
        <v>1</v>
      </c>
      <c r="K18" s="5">
        <v>1</v>
      </c>
      <c r="L18" s="5">
        <v>1</v>
      </c>
    </row>
  </sheetData>
  <sheetProtection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32.7109375" customWidth="1"/>
    <col min="2" max="4" width="19.7109375" customWidth="1"/>
  </cols>
  <sheetData>
    <row r="1" spans="1:4">
      <c r="A1" s="10" t="s">
        <v>62</v>
      </c>
      <c r="B1" s="10" t="s">
        <v>63</v>
      </c>
      <c r="C1" s="10" t="s">
        <v>64</v>
      </c>
      <c r="D1" s="10" t="s">
        <v>17</v>
      </c>
    </row>
    <row r="2" spans="1:4">
      <c r="A2" s="4" t="s">
        <v>65</v>
      </c>
      <c r="B2" s="6">
        <f>01_Inputs!B12</f>
        <v>0.40429900053749335</v>
      </c>
      <c r="C2" s="6">
        <f>01_Inputs!B13</f>
        <v>0.4043241769057849</v>
      </c>
      <c r="D2" s="4" t="s">
        <v>66</v>
      </c>
    </row>
    <row r="3" spans="1:4">
      <c r="A3" s="4" t="s">
        <v>67</v>
      </c>
      <c r="B3" s="6">
        <f>2.75*01_Inputs!B3*01_Inputs!B2/01_Inputs!B5*(01_Inputs!B6/B2)^01_Inputs!B7</f>
        <v>0.19168923698588256</v>
      </c>
      <c r="C3" s="6">
        <f>2.75*01_Inputs!B3*01_Inputs!B2/01_Inputs!B5*(01_Inputs!B6/C2)^01_Inputs!B7</f>
        <v>0.1916725267058597</v>
      </c>
      <c r="D3" s="4" t="s">
        <v>68</v>
      </c>
    </row>
    <row r="4" spans="1:4">
      <c r="A4" s="4" t="s">
        <v>69</v>
      </c>
      <c r="B4" s="6">
        <f>01_Inputs!B2*01_Inputs!B3/6</f>
        <v>0.07</v>
      </c>
      <c r="C4" s="6">
        <f>B4</f>
        <v>0.07</v>
      </c>
      <c r="D4" s="4" t="s">
        <v>70</v>
      </c>
    </row>
    <row r="5" spans="1:4">
      <c r="A5" s="4" t="s">
        <v>71</v>
      </c>
      <c r="B5" s="6">
        <f>0.35*01_Inputs!B2*01_Inputs!B3</f>
        <v>0.147</v>
      </c>
      <c r="C5" s="6">
        <f>B5</f>
        <v>0.147</v>
      </c>
      <c r="D5" s="4" t="s">
        <v>72</v>
      </c>
    </row>
    <row r="6" spans="1:4">
      <c r="A6" s="4" t="s">
        <v>73</v>
      </c>
      <c r="B6" s="6">
        <f>MAX(B4,MIN(B3,B5))</f>
        <v>0.147</v>
      </c>
      <c r="C6" s="6">
        <f>MAX(C4,MIN(C3,C5))</f>
        <v>0.147</v>
      </c>
      <c r="D6" s="4" t="s">
        <v>74</v>
      </c>
    </row>
    <row r="7" spans="1:4">
      <c r="A7" s="4" t="s">
        <v>75</v>
      </c>
      <c r="B7" s="6">
        <f>SUM(02_Datos_ETABS!C4:C8)</f>
        <v>5301.283144</v>
      </c>
      <c r="C7" s="6">
        <f>B7</f>
        <v>5301.283144</v>
      </c>
      <c r="D7" s="4" t="s">
        <v>76</v>
      </c>
    </row>
    <row r="8" spans="1:4">
      <c r="A8" s="4" t="s">
        <v>77</v>
      </c>
      <c r="B8" s="6">
        <f>B6*01_Inputs!B4*B7</f>
        <v>779.288622168</v>
      </c>
      <c r="C8" s="6">
        <f>C6*01_Inputs!B4*C7</f>
        <v>779.288622168</v>
      </c>
      <c r="D8" s="4" t="s">
        <v>78</v>
      </c>
    </row>
  </sheetData>
  <sheetProtection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9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14" width="15.7109375" customWidth="1"/>
  </cols>
  <sheetData>
    <row r="1" spans="1:14">
      <c r="A1" s="10" t="s">
        <v>45</v>
      </c>
      <c r="B1" s="10" t="s">
        <v>46</v>
      </c>
      <c r="C1" s="10" t="s">
        <v>79</v>
      </c>
      <c r="D1" s="10" t="s">
        <v>80</v>
      </c>
      <c r="E1" s="10" t="s">
        <v>81</v>
      </c>
      <c r="F1" s="10" t="s">
        <v>82</v>
      </c>
      <c r="G1" s="10" t="s">
        <v>83</v>
      </c>
      <c r="H1" s="10" t="s">
        <v>84</v>
      </c>
      <c r="I1" s="10" t="s">
        <v>85</v>
      </c>
      <c r="J1" s="10" t="s">
        <v>86</v>
      </c>
      <c r="K1" s="10" t="s">
        <v>87</v>
      </c>
      <c r="L1" s="10" t="s">
        <v>88</v>
      </c>
      <c r="M1" s="10" t="s">
        <v>89</v>
      </c>
      <c r="N1" s="10" t="s">
        <v>90</v>
      </c>
    </row>
    <row r="3" spans="1:14">
      <c r="A3" s="4" t="s">
        <v>48</v>
      </c>
      <c r="B3" s="5">
        <f>02_Datos_ETABS!B4</f>
        <v>3.5</v>
      </c>
      <c r="C3" s="5">
        <f>02_Datos_ETABS!C4</f>
        <v>1123.825</v>
      </c>
      <c r="D3" s="7">
        <v>0</v>
      </c>
      <c r="E3" s="6">
        <f>SQRT(MAX(0,1-D3/01_Inputs!$B$8))-SQRT(MAX(0,1-B3/01_Inputs!$B$8))</f>
        <v>0.1201173098718803</v>
      </c>
      <c r="F3" s="6">
        <f>E3*C3</f>
        <v>134.99083576676588</v>
      </c>
      <c r="G3" s="6">
        <f>'03_Coeficiente_C'!$B$8*F3/SUM($F$3:$F$7)</f>
        <v>102.88575626975626</v>
      </c>
      <c r="H3" s="6">
        <f>'03_Coeficiente_C'!$C$8*F3/SUM($F$3:$F$7)</f>
        <v>102.88575626975626</v>
      </c>
      <c r="I3" s="6">
        <f>0.10*01_Inputs!$B$10*B3/01_Inputs!$B$8</f>
        <v>0.7338709677419355</v>
      </c>
      <c r="J3" s="6">
        <f>0.10*01_Inputs!$B$9*B3/01_Inputs!$B$8</f>
        <v>0.7338709677419355</v>
      </c>
      <c r="K3" s="6">
        <f>G3*I3</f>
        <v>75.50486952054693</v>
      </c>
      <c r="L3" s="6">
        <f>H3*J3</f>
        <v>75.50486952054693</v>
      </c>
      <c r="M3" s="6">
        <f>SUM(G3:G$7)</f>
        <v>779.288622168</v>
      </c>
      <c r="N3" s="6">
        <f>SUM(H3:H$7)</f>
        <v>779.288622168</v>
      </c>
    </row>
    <row r="4" spans="1:14">
      <c r="A4" s="4" t="s">
        <v>49</v>
      </c>
      <c r="B4" s="5">
        <f>02_Datos_ETABS!B5</f>
        <v>6.5</v>
      </c>
      <c r="C4" s="5">
        <f>02_Datos_ETABS!C5</f>
        <v>1103.688</v>
      </c>
      <c r="D4" s="7">
        <f>B3</f>
        <v>3.5</v>
      </c>
      <c r="E4" s="6">
        <f>SQRT(MAX(0,1-D4/01_Inputs!$B$8))-SQRT(MAX(0,1-B4/01_Inputs!$B$8))</f>
        <v>0.11788192812697673</v>
      </c>
      <c r="F4" s="6">
        <f>E4*C4</f>
        <v>130.10486949060672</v>
      </c>
      <c r="G4" s="6">
        <f>'03_Coeficiente_C'!$B$8*F4/SUM($F$3:$F$7)</f>
        <v>99.16182691873195</v>
      </c>
      <c r="H4" s="6">
        <f>'03_Coeficiente_C'!$C$8*F4/SUM($F$3:$F$7)</f>
        <v>99.16182691873195</v>
      </c>
      <c r="I4" s="6">
        <f>0.10*01_Inputs!$B$10*B4/01_Inputs!$B$8</f>
        <v>1.3629032258064515</v>
      </c>
      <c r="J4" s="6">
        <f>0.10*01_Inputs!$B$9*B4/01_Inputs!$B$8</f>
        <v>1.3629032258064515</v>
      </c>
      <c r="K4" s="6">
        <f>G4*I4</f>
        <v>135.1479737844008</v>
      </c>
      <c r="L4" s="6">
        <f>H4*J4</f>
        <v>135.1479737844008</v>
      </c>
      <c r="M4" s="6">
        <f>SUM(G4:G$7)</f>
        <v>676.4028658982437</v>
      </c>
      <c r="N4" s="6">
        <f>SUM(H4:H$7)</f>
        <v>676.4028658982437</v>
      </c>
    </row>
    <row r="5" spans="1:14">
      <c r="A5" s="4" t="s">
        <v>50</v>
      </c>
      <c r="B5" s="5">
        <f>02_Datos_ETABS!B6</f>
        <v>9.5</v>
      </c>
      <c r="C5" s="5">
        <f>02_Datos_ETABS!C6</f>
        <v>1066.488</v>
      </c>
      <c r="D5" s="7">
        <f>B4</f>
        <v>6.5</v>
      </c>
      <c r="E5" s="6">
        <f>SQRT(MAX(0,1-D5/01_Inputs!$B$8))-SQRT(MAX(0,1-B5/01_Inputs!$B$8))</f>
        <v>0.13982974516288782</v>
      </c>
      <c r="F5" s="6">
        <f>E5*C5</f>
        <v>149.12674525927793</v>
      </c>
      <c r="G5" s="6">
        <f>'03_Coeficiente_C'!$B$8*F5/SUM($F$3:$F$7)</f>
        <v>113.65970051891091</v>
      </c>
      <c r="H5" s="6">
        <f>'03_Coeficiente_C'!$C$8*F5/SUM($F$3:$F$7)</f>
        <v>113.65970051891091</v>
      </c>
      <c r="I5" s="6">
        <f>0.10*01_Inputs!$B$10*B5/01_Inputs!$B$8</f>
        <v>1.9919354838709677</v>
      </c>
      <c r="J5" s="6">
        <f>0.10*01_Inputs!$B$9*B5/01_Inputs!$B$8</f>
        <v>1.9919354838709677</v>
      </c>
      <c r="K5" s="6">
        <f>G5*I5</f>
        <v>226.40279054976608</v>
      </c>
      <c r="L5" s="6">
        <f>H5*J5</f>
        <v>226.40279054976608</v>
      </c>
      <c r="M5" s="6">
        <f>SUM(G5:G$7)</f>
        <v>577.2410389795117</v>
      </c>
      <c r="N5" s="6">
        <f>SUM(H5:H$7)</f>
        <v>577.2410389795117</v>
      </c>
    </row>
    <row r="6" spans="1:14">
      <c r="A6" s="4" t="s">
        <v>51</v>
      </c>
      <c r="B6" s="5">
        <f>02_Datos_ETABS!B7</f>
        <v>12.5</v>
      </c>
      <c r="C6" s="5">
        <f>02_Datos_ETABS!C7</f>
        <v>1066.488</v>
      </c>
      <c r="D6" s="7">
        <f>B5</f>
        <v>9.5</v>
      </c>
      <c r="E6" s="6">
        <f>SQRT(MAX(0,1-D6/01_Inputs!$B$8))-SQRT(MAX(0,1-B6/01_Inputs!$B$8))</f>
        <v>0.18222967177419525</v>
      </c>
      <c r="F6" s="6">
        <f>E6*C6</f>
        <v>194.34575819111794</v>
      </c>
      <c r="G6" s="6">
        <f>'03_Coeficiente_C'!$B$8*F6/SUM($F$3:$F$7)</f>
        <v>148.12420558577742</v>
      </c>
      <c r="H6" s="6">
        <f>'03_Coeficiente_C'!$C$8*F6/SUM($F$3:$F$7)</f>
        <v>148.12420558577742</v>
      </c>
      <c r="I6" s="6">
        <f>0.10*01_Inputs!$B$10*B6/01_Inputs!$B$8</f>
        <v>2.620967741935484</v>
      </c>
      <c r="J6" s="6">
        <f>0.10*01_Inputs!$B$9*B6/01_Inputs!$B$8</f>
        <v>2.620967741935484</v>
      </c>
      <c r="K6" s="6">
        <f>G6*I6</f>
        <v>388.22876464014246</v>
      </c>
      <c r="L6" s="6">
        <f>H6*J6</f>
        <v>388.22876464014246</v>
      </c>
      <c r="M6" s="6">
        <f>SUM(G6:G$7)</f>
        <v>463.5813384606008</v>
      </c>
      <c r="N6" s="6">
        <f>SUM(H6:H$7)</f>
        <v>463.5813384606008</v>
      </c>
    </row>
    <row r="7" spans="1:14">
      <c r="A7" s="4" t="s">
        <v>52</v>
      </c>
      <c r="B7" s="5">
        <f>02_Datos_ETABS!B8</f>
        <v>15.5</v>
      </c>
      <c r="C7" s="5">
        <f>02_Datos_ETABS!C8</f>
        <v>940.794144</v>
      </c>
      <c r="D7" s="7">
        <f>B6</f>
        <v>12.5</v>
      </c>
      <c r="E7" s="6">
        <f>SQRT(MAX(0,1-D7/01_Inputs!$B$8))-SQRT(MAX(0,1-B7/01_Inputs!$B$8))</f>
        <v>0.4399413450640599</v>
      </c>
      <c r="F7" s="6">
        <f>E7*C7</f>
        <v>413.8942411397509</v>
      </c>
      <c r="G7" s="6">
        <f>'03_Coeficiente_C'!$B$8*F7/SUM($F$3:$F$7)</f>
        <v>315.4571328748234</v>
      </c>
      <c r="H7" s="6">
        <f>'03_Coeficiente_C'!$C$8*F7/SUM($F$3:$F$7)</f>
        <v>315.4571328748234</v>
      </c>
      <c r="I7" s="6">
        <f>0.10*01_Inputs!$B$10*B7/01_Inputs!$B$8</f>
        <v>3.25</v>
      </c>
      <c r="J7" s="6">
        <f>0.10*01_Inputs!$B$9*B7/01_Inputs!$B$8</f>
        <v>3.25</v>
      </c>
      <c r="K7" s="6">
        <f>G7*I7</f>
        <v>1025.235681843176</v>
      </c>
      <c r="L7" s="6">
        <f>H7*J7</f>
        <v>1025.235681843176</v>
      </c>
      <c r="M7" s="6">
        <f>SUM(G7:G$7)</f>
        <v>315.4571328748234</v>
      </c>
      <c r="N7" s="6">
        <f>SUM(H7:H$7)</f>
        <v>315.4571328748234</v>
      </c>
    </row>
    <row r="9" spans="1:14">
      <c r="A9" s="10" t="s">
        <v>91</v>
      </c>
      <c r="G9" s="6">
        <f>SUM(G3:G7)-'03_Coeficiente_C'!$B$8</f>
        <v>0.0</v>
      </c>
      <c r="H9" s="6">
        <f>SUM(H3:H7)-'03_Coeficiente_C'!$C$8</f>
        <v>0.0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9.7109375" customWidth="1"/>
  </cols>
  <sheetData>
    <row r="1" spans="1:6">
      <c r="A1" s="10" t="s">
        <v>45</v>
      </c>
      <c r="B1" s="10" t="s">
        <v>92</v>
      </c>
      <c r="C1" s="10" t="s">
        <v>93</v>
      </c>
      <c r="D1" s="10" t="s">
        <v>94</v>
      </c>
      <c r="E1" s="10" t="s">
        <v>95</v>
      </c>
      <c r="F1" s="10" t="s">
        <v>96</v>
      </c>
    </row>
    <row r="2" spans="1:6">
      <c r="A2" s="4" t="s">
        <v>48</v>
      </c>
      <c r="B2" s="6">
        <f>'04_Distribución'!G3</f>
        <v>102.88575626975626</v>
      </c>
      <c r="C2" s="6">
        <f>'04_Distribución'!H3</f>
        <v>102.88575626975626</v>
      </c>
      <c r="D2" s="6">
        <f>'04_Distribución'!K3</f>
        <v>75.50486952054693</v>
      </c>
      <c r="E2" s="6">
        <f>'04_Distribución'!L3</f>
        <v>75.50486952054693</v>
      </c>
      <c r="F2" s="4" t="s">
        <v>97</v>
      </c>
    </row>
    <row r="3" spans="1:6">
      <c r="A3" s="4" t="s">
        <v>49</v>
      </c>
      <c r="B3" s="6">
        <f>'04_Distribución'!G4</f>
        <v>99.16182691873195</v>
      </c>
      <c r="C3" s="6">
        <f>'04_Distribución'!H4</f>
        <v>99.16182691873195</v>
      </c>
      <c r="D3" s="6">
        <f>'04_Distribución'!K4</f>
        <v>135.1479737844008</v>
      </c>
      <c r="E3" s="6">
        <f>'04_Distribución'!L4</f>
        <v>135.1479737844008</v>
      </c>
      <c r="F3" s="4" t="s">
        <v>97</v>
      </c>
    </row>
    <row r="4" spans="1:6">
      <c r="A4" s="4" t="s">
        <v>50</v>
      </c>
      <c r="B4" s="6">
        <f>'04_Distribución'!G5</f>
        <v>113.65970051891091</v>
      </c>
      <c r="C4" s="6">
        <f>'04_Distribución'!H5</f>
        <v>113.65970051891091</v>
      </c>
      <c r="D4" s="6">
        <f>'04_Distribución'!K5</f>
        <v>226.40279054976608</v>
      </c>
      <c r="E4" s="6">
        <f>'04_Distribución'!L5</f>
        <v>226.40279054976608</v>
      </c>
      <c r="F4" s="4" t="s">
        <v>97</v>
      </c>
    </row>
    <row r="5" spans="1:6">
      <c r="A5" s="4" t="s">
        <v>51</v>
      </c>
      <c r="B5" s="6">
        <f>'04_Distribución'!G6</f>
        <v>148.12420558577742</v>
      </c>
      <c r="C5" s="6">
        <f>'04_Distribución'!H6</f>
        <v>148.12420558577742</v>
      </c>
      <c r="D5" s="6">
        <f>'04_Distribución'!K6</f>
        <v>388.22876464014246</v>
      </c>
      <c r="E5" s="6">
        <f>'04_Distribución'!L6</f>
        <v>388.22876464014246</v>
      </c>
      <c r="F5" s="4" t="s">
        <v>97</v>
      </c>
    </row>
    <row r="6" spans="1:6">
      <c r="A6" s="4" t="s">
        <v>52</v>
      </c>
      <c r="B6" s="6">
        <f>'04_Distribución'!G7</f>
        <v>315.4571328748234</v>
      </c>
      <c r="C6" s="6">
        <f>'04_Distribución'!H7</f>
        <v>315.4571328748234</v>
      </c>
      <c r="D6" s="6">
        <f>'04_Distribución'!K7</f>
        <v>1025.235681843176</v>
      </c>
      <c r="E6" s="6">
        <f>'04_Distribución'!L7</f>
        <v>1025.235681843176</v>
      </c>
      <c r="F6" s="4" t="s">
        <v>97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4.7109375" customWidth="1"/>
    <col min="2" max="2" width="82.7109375" customWidth="1"/>
  </cols>
  <sheetData>
    <row r="1" spans="1:2">
      <c r="A1" s="10" t="s">
        <v>98</v>
      </c>
      <c r="B1" s="10" t="s">
        <v>99</v>
      </c>
    </row>
    <row r="2" spans="1:2">
      <c r="A2" s="4" t="s">
        <v>100</v>
      </c>
      <c r="B2" s="4" t="s">
        <v>101</v>
      </c>
    </row>
    <row r="3" spans="1:2">
      <c r="A3" s="4" t="s">
        <v>102</v>
      </c>
      <c r="B3" s="4" t="s">
        <v>103</v>
      </c>
    </row>
    <row r="4" spans="1:2">
      <c r="A4" s="4" t="s">
        <v>104</v>
      </c>
      <c r="B4" s="4" t="s">
        <v>105</v>
      </c>
    </row>
    <row r="5" spans="1:2">
      <c r="A5" s="4" t="s">
        <v>106</v>
      </c>
      <c r="B5" s="4" t="s">
        <v>107</v>
      </c>
    </row>
    <row r="6" spans="1:2">
      <c r="A6" s="4" t="s">
        <v>108</v>
      </c>
      <c r="B6" s="4" t="s">
        <v>109</v>
      </c>
    </row>
    <row r="7" spans="1:2">
      <c r="A7" s="4" t="s">
        <v>110</v>
      </c>
      <c r="B7" s="4" t="s">
        <v>111</v>
      </c>
    </row>
    <row r="8" spans="1:2">
      <c r="A8" s="4" t="s">
        <v>110</v>
      </c>
      <c r="B8" s="4" t="s">
        <v>112</v>
      </c>
    </row>
    <row r="9" spans="1:2">
      <c r="A9" s="4" t="s">
        <v>113</v>
      </c>
      <c r="B9" s="4" t="s">
        <v>114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1" width="36.7109375" customWidth="1"/>
    <col min="2" max="3" width="24.7109375" customWidth="1"/>
  </cols>
  <sheetData>
    <row r="1" spans="1:3">
      <c r="A1" s="10" t="s">
        <v>115</v>
      </c>
      <c r="B1" s="10" t="s">
        <v>15</v>
      </c>
      <c r="C1" s="10" t="s">
        <v>116</v>
      </c>
    </row>
    <row r="2" spans="1:3">
      <c r="A2" s="4" t="s">
        <v>117</v>
      </c>
      <c r="B2" s="6">
        <f>'04_Distribución'!G9</f>
        <v>0.0</v>
      </c>
      <c r="C2" s="12" t="str">
        <f>IF(ABS(B2)&lt;0.001,"OK","REVISAR")</f>
        <v>OK</v>
      </c>
    </row>
    <row r="3" spans="1:3">
      <c r="A3" s="4" t="s">
        <v>118</v>
      </c>
      <c r="B3" s="6">
        <f>'04_Distribución'!H9</f>
        <v>0.0</v>
      </c>
      <c r="C3" s="12" t="str">
        <f>IF(ABS(B3)&lt;0.001,"OK","REVISAR")</f>
        <v>OK</v>
      </c>
    </row>
    <row r="4" spans="1:3">
      <c r="A4" s="4" t="s">
        <v>119</v>
      </c>
      <c r="B4" s="6">
        <f>'03_Coeficiente_C'!B3-'03_Coeficiente_C'!B5</f>
        <v>0.04468923698588256</v>
      </c>
      <c r="C4" s="12" t="str">
        <f>IF(B4&gt;0,"CAP Cmax","SIN CAP")</f>
        <v>CAP Cmax</v>
      </c>
    </row>
    <row r="5" spans="1:3">
      <c r="A5" s="4" t="s">
        <v>120</v>
      </c>
      <c r="B5" s="6">
        <f>'03_Coeficiente_C'!C3-'03_Coeficiente_C'!C5</f>
        <v>0.04467252670585972</v>
      </c>
      <c r="C5" s="12" t="str">
        <f>IF(B5&gt;0,"CAP Cmax","SIN CAP")</f>
        <v>CAP Cmax</v>
      </c>
    </row>
    <row r="6" spans="1:3">
      <c r="A6" s="4" t="s">
        <v>121</v>
      </c>
      <c r="B6" s="6">
        <f>MAX(02_Datos_ETABS!J4:J18)</f>
        <v>1.0000000000000002</v>
      </c>
      <c r="C6" s="12" t="str">
        <f>IF(B6&gt;=0.9,"OK","REVISAR")</f>
        <v>OK</v>
      </c>
    </row>
    <row r="7" spans="1:3">
      <c r="A7" s="4" t="s">
        <v>122</v>
      </c>
      <c r="B7" s="6">
        <f>MAX(02_Datos_ETABS!K4:K18)</f>
        <v>1.0</v>
      </c>
      <c r="C7" s="12" t="str">
        <f>IF(B7&gt;=0.9,"OK","REVISAR")</f>
        <v>OK</v>
      </c>
    </row>
    <row r="8" spans="1:3">
      <c r="A8" s="4" t="s">
        <v>123</v>
      </c>
      <c r="B8" s="6">
        <f>01_Inputs!B12</f>
        <v>0.40429900053749335</v>
      </c>
      <c r="C8" s="12" t="str">
        <f>"Modo "&amp;2</f>
        <v>Modo 2</v>
      </c>
    </row>
    <row r="9" spans="1:3">
      <c r="A9" s="4" t="s">
        <v>124</v>
      </c>
      <c r="B9" s="6">
        <f>01_Inputs!B13</f>
        <v>0.4043241769057849</v>
      </c>
      <c r="C9" s="12" t="str">
        <f>"Modo "&amp;1</f>
        <v>Modo 1</v>
      </c>
    </row>
  </sheetData>
  <sheetProtection sheet="1" objects="1" scenario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28.7109375" customWidth="1"/>
    <col min="2" max="2" width="32.7109375" customWidth="1"/>
    <col min="3" max="3" width="92.7109375" customWidth="1"/>
    <col min="4" max="4" width="18.7109375" customWidth="1"/>
  </cols>
  <sheetData>
    <row r="1" spans="1:4">
      <c r="A1" s="10" t="s">
        <v>125</v>
      </c>
      <c r="B1" s="10" t="s">
        <v>126</v>
      </c>
      <c r="C1" s="10" t="s">
        <v>127</v>
      </c>
      <c r="D1" s="10" t="s">
        <v>116</v>
      </c>
    </row>
    <row r="2" spans="1:4">
      <c r="A2" s="8" t="s">
        <v>128</v>
      </c>
      <c r="B2" s="8" t="s">
        <v>129</v>
      </c>
      <c r="C2" s="8" t="s">
        <v>130</v>
      </c>
      <c r="D2" s="12" t="s">
        <v>131</v>
      </c>
    </row>
    <row r="3" spans="1:4">
      <c r="A3" s="8" t="s">
        <v>132</v>
      </c>
      <c r="B3" s="8" t="s">
        <v>133</v>
      </c>
      <c r="C3" s="8" t="s">
        <v>134</v>
      </c>
      <c r="D3" s="12" t="s">
        <v>131</v>
      </c>
    </row>
    <row r="4" spans="1:4">
      <c r="A4" s="8" t="s">
        <v>135</v>
      </c>
      <c r="B4" s="8" t="s">
        <v>136</v>
      </c>
      <c r="C4" s="8" t="s">
        <v>137</v>
      </c>
      <c r="D4" s="12" t="s">
        <v>131</v>
      </c>
    </row>
    <row r="5" spans="1:4">
      <c r="A5" s="8" t="s">
        <v>138</v>
      </c>
      <c r="B5" s="8" t="s">
        <v>139</v>
      </c>
      <c r="C5" s="8" t="s">
        <v>140</v>
      </c>
      <c r="D5" s="12" t="s">
        <v>131</v>
      </c>
    </row>
    <row r="6" spans="1:4">
      <c r="A6" s="8" t="s">
        <v>141</v>
      </c>
      <c r="B6" s="8" t="s">
        <v>142</v>
      </c>
      <c r="C6" s="8" t="s">
        <v>143</v>
      </c>
      <c r="D6" s="12" t="s">
        <v>131</v>
      </c>
    </row>
    <row r="7" spans="1:4">
      <c r="A7" s="8" t="s">
        <v>144</v>
      </c>
      <c r="B7" s="8" t="s">
        <v>145</v>
      </c>
      <c r="C7" s="8" t="s">
        <v>26</v>
      </c>
      <c r="D7" s="12" t="s">
        <v>131</v>
      </c>
    </row>
    <row r="8" spans="1:4">
      <c r="A8" s="8" t="s">
        <v>146</v>
      </c>
      <c r="B8" s="8" t="s">
        <v>147</v>
      </c>
      <c r="C8" s="8" t="s">
        <v>148</v>
      </c>
      <c r="D8" s="12" t="s">
        <v>131</v>
      </c>
    </row>
    <row r="9" spans="1:4">
      <c r="A9" s="8" t="s">
        <v>149</v>
      </c>
      <c r="B9" s="8" t="s">
        <v>150</v>
      </c>
      <c r="C9" s="8" t="s">
        <v>151</v>
      </c>
      <c r="D9" s="12" t="s">
        <v>131</v>
      </c>
    </row>
    <row r="10" spans="1:4">
      <c r="A10" s="8" t="s">
        <v>152</v>
      </c>
      <c r="B10" s="8" t="s">
        <v>153</v>
      </c>
      <c r="C10" s="8" t="s">
        <v>154</v>
      </c>
      <c r="D10" s="12" t="s">
        <v>131</v>
      </c>
    </row>
    <row r="11" spans="1:4">
      <c r="A11" s="8" t="s">
        <v>155</v>
      </c>
      <c r="B11" s="8" t="s">
        <v>156</v>
      </c>
      <c r="C11" s="8" t="s">
        <v>157</v>
      </c>
      <c r="D11" s="12" t="s">
        <v>131</v>
      </c>
    </row>
  </sheetData>
  <sheetProtection sheet="1" objects="1" scenario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8" width="18.7109375" customWidth="1"/>
  </cols>
  <sheetData/>
  <sheetProtection sheet="1" objects="1" scenario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00_LEEME</vt:lpstr>
      <vt:lpstr>01_Inputs</vt:lpstr>
      <vt:lpstr>02_Datos_ETABS</vt:lpstr>
      <vt:lpstr>03_Coeficiente_C</vt:lpstr>
      <vt:lpstr>04_Distribución</vt:lpstr>
      <vt:lpstr>05_Cargas_ETABS</vt:lpstr>
      <vt:lpstr>06_Combos_Guía</vt:lpstr>
      <vt:lpstr>07_Validaciones</vt:lpstr>
      <vt:lpstr>08_Trazabilidad_Clase</vt:lpstr>
      <vt:lpstr>09_Gráficos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2026-05-12T19:07:19Z</dcterms:created>
  <dcterms:modified xsi:type="dcterms:W3CDTF">2026-05-12T19:07:19Z</dcterms:modified>
</cp:coreProperties>
</file>